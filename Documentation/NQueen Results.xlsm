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749A919C-B96A-48C1-BA51-F469E516349C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Solution Overview" sheetId="2" r:id="rId1"/>
    <sheet name="Resource Usage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2" l="1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<sst xmlns="http://schemas.openxmlformats.org/spreadsheetml/2006/main" count="15" uniqueCount="9">
  <si>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</si>
  <si>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</si>
  <si>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</si>
  <si>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</si>
  <si>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</si>
  <si>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</si>
  <si>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</si>
  <si>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</si>
  <si>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Board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</si>
</sst>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,##0.0"/>
    <numFmt numFmtId="166" formatCode="#,##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2" fillId="0" borderId="2" xfId="0" applyFont="1" applyBorder="1"/>
    <xf numFmtId="165" fontId="1" fillId="0" borderId="12" xfId="0" applyNumberFormat="1" applyFont="1" applyBorder="1"/>
    <xf numFmtId="165" fontId="0" fillId="0" borderId="0" xfId="0" applyNumberFormat="1"/>
    <xf numFmtId="3" fontId="1" fillId="0" borderId="17" xfId="0" applyNumberFormat="1" applyFont="1" applyBorder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0" fontId="3" fillId="0" borderId="24" xfId="0" applyFont="1" applyBorder="1"/>
    <xf numFmtId="0" fontId="3" fillId="0" borderId="6" xfId="0" applyFont="1" applyBorder="1"/>
    <xf numFmtId="165" fontId="3" fillId="0" borderId="26" xfId="0" applyNumberFormat="1" applyFont="1" applyBorder="1"/>
    <xf numFmtId="165" fontId="3" fillId="0" borderId="27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3" fontId="1" fillId="0" borderId="22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3" fillId="0" borderId="25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0" fontId="2" fillId="0" borderId="17" xfId="0" applyFont="1" applyBorder="1"/>
    <xf numFmtId="3" fontId="1" fillId="0" borderId="21" xfId="0" applyNumberFormat="1" applyFont="1" applyBorder="1"/>
    <xf numFmtId="165" fontId="3" fillId="0" borderId="28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2" fillId="0" borderId="19" xfId="0" applyNumberFormat="1" applyFont="1" applyBorder="1"/>
    <xf numFmtId="164" fontId="3" fillId="0" borderId="6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3" fillId="0" borderId="29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3" fontId="1" fillId="0" borderId="23" xfId="0" applyNumberFormat="1" applyFont="1" applyBorder="1"/>
    <xf numFmtId="165" fontId="3" fillId="0" borderId="6" xfId="0" applyNumberFormat="1" applyFont="1" applyBorder="1"/>
    <xf numFmtId="3" fontId="0" fillId="0" borderId="18" xfId="0" applyNumberFormat="1" applyBorder="1"/>
    <xf numFmtId="0" fontId="7" fillId="0" borderId="0" xfId="0" applyFont="1"/>
    <xf numFmtId="0" fontId="6" fillId="0" borderId="0" xfId="0" applyFont="1"/>
    <xf numFmtId="165" fontId="2" fillId="0" borderId="5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13" xfId="0" applyNumberFormat="1" applyFont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5" fontId="2" fillId="0" borderId="15" xfId="0" applyNumberFormat="1" applyFont="1" applyBorder="1" applyAlignment="1">
      <alignment horizontal="center"/>
    </xf>
    <xf numFmtId="0" fontId="6" fillId="0" borderId="30" xfId="0" applyFont="1" applyBorder="1"/>
    <xf numFmtId="0" fontId="5" fillId="0" borderId="12" xfId="0" applyFont="1" applyBorder="1"/>
    <xf numFmtId="0" fontId="6" fillId="0" borderId="31" xfId="0" applyFont="1" applyBorder="1"/>
    <xf numFmtId="0" fontId="4" fillId="0" borderId="1" xfId="0" applyFont="1" applyBorder="1"/>
    <xf numFmtId="0" fontId="5" fillId="0" borderId="1" xfId="0" applyFont="1" applyBorder="1"/>
    <xf numFmtId="3" fontId="5" fillId="0" borderId="1" xfId="0" applyNumberFormat="1" applyFont="1" applyBorder="1"/>
    <xf numFmtId="164" fontId="5" fillId="0" borderId="23" xfId="0" applyNumberFormat="1" applyFont="1" applyBorder="1"/>
    <xf numFmtId="164" fontId="5" fillId="0" borderId="20" xfId="0" applyNumberFormat="1" applyFont="1" applyBorder="1"/>
    <xf numFmtId="164" fontId="6" fillId="0" borderId="33" xfId="0" applyNumberFormat="1" applyFont="1" applyBorder="1"/>
    <xf numFmtId="0" fontId="4" fillId="0" borderId="32" xfId="0" applyFont="1" applyBorder="1"/>
    <xf numFmtId="0" fontId="4" fillId="0" borderId="2" xfId="0" applyFont="1" applyBorder="1"/>
    <xf numFmtId="0" fontId="5" fillId="0" borderId="2" xfId="0" applyFont="1" applyBorder="1"/>
    <xf numFmtId="166" fontId="5" fillId="0" borderId="2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nb-NO" sz="1600"/>
              <a:t>All / Unique Solutions as a Function of Board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871696541893605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'Solution Overview'!$A$2:$A$18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'Solution Overview'!$D$2:$D$18</c:f>
              <c:numCache>
                <c:formatCode>0.0000</c:formatCode>
                <c:ptCount val="17"/>
                <c:pt idx="0" formatCode="General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4</c:v>
                </c:pt>
                <c:pt idx="6">
                  <c:v>6.666666666666667</c:v>
                </c:pt>
                <c:pt idx="7">
                  <c:v>7.666666666666667</c:v>
                </c:pt>
                <c:pt idx="8">
                  <c:v>7.6521739130434785</c:v>
                </c:pt>
                <c:pt idx="9">
                  <c:v>7.8695652173913047</c:v>
                </c:pt>
                <c:pt idx="10">
                  <c:v>7.8592375366568916</c:v>
                </c:pt>
                <c:pt idx="11">
                  <c:v>7.9462786793508675</c:v>
                </c:pt>
                <c:pt idx="12">
                  <c:v>7.9835373118163107</c:v>
                </c:pt>
                <c:pt idx="13">
                  <c:v>7.9908200734394121</c:v>
                </c:pt>
                <c:pt idx="14">
                  <c:v>7.9956499317670753</c:v>
                </c:pt>
                <c:pt idx="15">
                  <c:v>7.998306401617798</c:v>
                </c:pt>
                <c:pt idx="16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200"/>
                  <a:t>Board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200" baseline="0"/>
                  <a:t>Factor</a:t>
                </a:r>
              </a:p>
            </c:rich>
          </c:tx>
          <c:layout>
            <c:manualLayout>
              <c:xMode val="edge"/>
              <c:yMode val="edge"/>
              <c:x val="0.92256797115501499"/>
              <c:y val="0.464347445699722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7327</xdr:colOff>
      <xdr:row>1</xdr:row>
      <xdr:rowOff>9525</xdr:rowOff>
    </xdr:from>
    <xdr:to>
      <xdr:col>15</xdr:col>
      <xdr:colOff>0</xdr:colOff>
      <xdr:row>23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Repos\Code\NQueen\Documentation\Number%20of%20Solution%20.xlsm" TargetMode="External"/><Relationship Id="rId1" Type="http://schemas.openxmlformats.org/officeDocument/2006/relationships/externalLinkPath" Target="Number%20of%20Solution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lts"/>
    </sheetNames>
    <sheetDataSet>
      <sheetData sheetId="0">
        <row r="5">
          <cell r="A5">
            <v>4</v>
          </cell>
          <cell r="D5">
            <v>2</v>
          </cell>
        </row>
        <row r="6">
          <cell r="A6">
            <v>5</v>
          </cell>
          <cell r="D6">
            <v>5</v>
          </cell>
        </row>
        <row r="7">
          <cell r="A7">
            <v>6</v>
          </cell>
          <cell r="D7">
            <v>4</v>
          </cell>
        </row>
        <row r="8">
          <cell r="A8">
            <v>7</v>
          </cell>
          <cell r="D8">
            <v>6.666666666666667</v>
          </cell>
        </row>
        <row r="9">
          <cell r="A9">
            <v>8</v>
          </cell>
          <cell r="D9">
            <v>7.666666666666667</v>
          </cell>
        </row>
        <row r="10">
          <cell r="A10">
            <v>9</v>
          </cell>
          <cell r="D10">
            <v>7.6521739130434785</v>
          </cell>
        </row>
        <row r="11">
          <cell r="A11">
            <v>10</v>
          </cell>
          <cell r="D11">
            <v>7.8695652173913047</v>
          </cell>
        </row>
        <row r="12">
          <cell r="A12">
            <v>11</v>
          </cell>
          <cell r="D12">
            <v>7.8592375366568916</v>
          </cell>
        </row>
        <row r="13">
          <cell r="A13">
            <v>12</v>
          </cell>
          <cell r="D13">
            <v>7.9462786793508675</v>
          </cell>
        </row>
        <row r="14">
          <cell r="A14">
            <v>13</v>
          </cell>
          <cell r="D14">
            <v>7.9835373118163107</v>
          </cell>
        </row>
        <row r="15">
          <cell r="A15">
            <v>14</v>
          </cell>
          <cell r="D15">
            <v>7.9908200734394121</v>
          </cell>
        </row>
        <row r="16">
          <cell r="A16">
            <v>15</v>
          </cell>
          <cell r="D16">
            <v>7.9956499317670753</v>
          </cell>
        </row>
        <row r="17">
          <cell r="A17">
            <v>16</v>
          </cell>
          <cell r="D17">
            <v>7.998306401617798</v>
          </cell>
        </row>
        <row r="18">
          <cell r="A18">
            <v>17</v>
          </cell>
          <cell r="D18">
            <v>7.9992980428435976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tabSelected="1" workbookViewId="0">
      <selection activeCell="H27" sqref="H27"/>
    </sheetView>
  </sheetViews>
  <sheetFormatPr defaultColWidth="8.7109375" defaultRowHeight="15" x14ac:dyDescent="0.25"/>
  <cols>
    <col min="1" max="1" width="14.42578125" style="1" bestFit="1" customWidth="1"/>
    <col min="2" max="2" width="28.28515625" style="1" bestFit="1" customWidth="1"/>
    <col min="3" max="3" width="29.7109375" style="1" bestFit="1" customWidth="1"/>
    <col min="4" max="4" width="9.28515625" style="2" bestFit="1" customWidth="1"/>
    <col min="5" max="5" width="10.140625" style="1" bestFit="1" customWidth="1"/>
    <col min="6" max="6" width="12" style="1" bestFit="1" customWidth="1"/>
    <col min="7" max="7" width="8" style="1" bestFit="1" customWidth="1"/>
    <col min="8" max="8" width="11.7109375" style="1" customWidth="1"/>
    <col min="9" max="9" width="13" style="1" customWidth="1"/>
    <col min="10" max="16384" width="8.7109375" style="1"/>
  </cols>
  <sheetData>
    <row r="1" spans="1:11" s="52" customFormat="1" ht="21" x14ac:dyDescent="0.35">
      <c r="A1" s="59" t="s">
        <v>8</v>
      </c>
      <c r="B1" s="61" t="s">
        <v>6</v>
      </c>
      <c r="C1" s="59" t="s">
        <v>5</v>
      </c>
      <c r="D1" s="67" t="s">
        <v>0</v>
      </c>
      <c r="E1" s="51"/>
      <c r="F1" s="51"/>
      <c r="G1" s="51"/>
      <c r="H1" s="51"/>
      <c r="I1" s="51"/>
      <c r="J1" s="51"/>
    </row>
    <row r="2" spans="1:11" s="8" customFormat="1" ht="18.75" x14ac:dyDescent="0.3">
      <c r="A2" s="62">
        <v>1</v>
      </c>
      <c r="B2" s="62">
        <v>1</v>
      </c>
      <c r="C2" s="62">
        <v>1</v>
      </c>
      <c r="D2" s="68">
        <f>IF(B2=0,0,C2/B2)</f>
        <v>1</v>
      </c>
      <c r="E2" s="1"/>
      <c r="F2" s="1"/>
      <c r="G2" s="1"/>
      <c r="H2" s="1"/>
      <c r="I2" s="1"/>
      <c r="J2" s="1"/>
      <c r="K2" s="7"/>
    </row>
    <row r="3" spans="1:11" ht="18.75" x14ac:dyDescent="0.3">
      <c r="A3" s="60">
        <v>2</v>
      </c>
      <c r="B3" s="63">
        <v>0</v>
      </c>
      <c r="C3" s="63">
        <v>0</v>
      </c>
      <c r="D3" s="65">
        <f>IF(B3=0,0,C3/B3)</f>
        <v>0</v>
      </c>
      <c r="K3" s="5"/>
    </row>
    <row r="4" spans="1:11" ht="18.75" x14ac:dyDescent="0.3">
      <c r="A4" s="60">
        <v>3</v>
      </c>
      <c r="B4" s="63">
        <v>0</v>
      </c>
      <c r="C4" s="63">
        <v>0</v>
      </c>
      <c r="D4" s="66">
        <f t="shared" ref="D4:D27" si="0">IF(B4=0,0,C4/B4)</f>
        <v>0</v>
      </c>
      <c r="K4" s="5"/>
    </row>
    <row r="5" spans="1:11" ht="18.75" x14ac:dyDescent="0.3">
      <c r="A5" s="60">
        <v>4</v>
      </c>
      <c r="B5" s="63">
        <v>1</v>
      </c>
      <c r="C5" s="63">
        <v>2</v>
      </c>
      <c r="D5" s="66">
        <f t="shared" si="0"/>
        <v>2</v>
      </c>
      <c r="K5" s="5"/>
    </row>
    <row r="6" spans="1:11" ht="18.75" x14ac:dyDescent="0.3">
      <c r="A6" s="60">
        <v>5</v>
      </c>
      <c r="B6" s="63">
        <v>2</v>
      </c>
      <c r="C6" s="63">
        <v>10</v>
      </c>
      <c r="D6" s="66">
        <f t="shared" si="0"/>
        <v>5</v>
      </c>
      <c r="K6" s="5"/>
    </row>
    <row r="7" spans="1:11" ht="18.75" x14ac:dyDescent="0.3">
      <c r="A7" s="60">
        <v>6</v>
      </c>
      <c r="B7" s="63">
        <v>1</v>
      </c>
      <c r="C7" s="63">
        <v>4</v>
      </c>
      <c r="D7" s="66">
        <f t="shared" si="0"/>
        <v>4</v>
      </c>
      <c r="K7" s="5"/>
    </row>
    <row r="8" spans="1:11" ht="18.75" x14ac:dyDescent="0.3">
      <c r="A8" s="60">
        <v>7</v>
      </c>
      <c r="B8" s="63">
        <v>6</v>
      </c>
      <c r="C8" s="63">
        <v>40</v>
      </c>
      <c r="D8" s="66">
        <f t="shared" si="0"/>
        <v>6.666666666666667</v>
      </c>
      <c r="K8" s="5"/>
    </row>
    <row r="9" spans="1:11" ht="18.75" x14ac:dyDescent="0.3">
      <c r="A9" s="60">
        <v>8</v>
      </c>
      <c r="B9" s="63">
        <v>12</v>
      </c>
      <c r="C9" s="63">
        <v>92</v>
      </c>
      <c r="D9" s="66">
        <f t="shared" si="0"/>
        <v>7.666666666666667</v>
      </c>
      <c r="K9" s="5"/>
    </row>
    <row r="10" spans="1:11" ht="18.75" x14ac:dyDescent="0.3">
      <c r="A10" s="60">
        <v>9</v>
      </c>
      <c r="B10" s="63">
        <v>46</v>
      </c>
      <c r="C10" s="63">
        <v>352</v>
      </c>
      <c r="D10" s="66">
        <f t="shared" si="0"/>
        <v>7.6521739130434785</v>
      </c>
      <c r="K10" s="5"/>
    </row>
    <row r="11" spans="1:11" ht="18.75" x14ac:dyDescent="0.3">
      <c r="A11" s="60">
        <v>10</v>
      </c>
      <c r="B11" s="63">
        <v>92</v>
      </c>
      <c r="C11" s="63">
        <v>724</v>
      </c>
      <c r="D11" s="66">
        <f t="shared" si="0"/>
        <v>7.8695652173913047</v>
      </c>
      <c r="K11" s="5"/>
    </row>
    <row r="12" spans="1:11" ht="18.75" x14ac:dyDescent="0.3">
      <c r="A12" s="60">
        <v>11</v>
      </c>
      <c r="B12" s="63">
        <v>341</v>
      </c>
      <c r="C12" s="63">
        <v>2680</v>
      </c>
      <c r="D12" s="66">
        <f t="shared" si="0"/>
        <v>7.8592375366568916</v>
      </c>
      <c r="K12" s="5"/>
    </row>
    <row r="13" spans="1:11" ht="18.75" x14ac:dyDescent="0.3">
      <c r="A13" s="60">
        <v>12</v>
      </c>
      <c r="B13" s="63">
        <v>1787</v>
      </c>
      <c r="C13" s="63">
        <v>14200</v>
      </c>
      <c r="D13" s="66">
        <f t="shared" si="0"/>
        <v>7.9462786793508675</v>
      </c>
      <c r="K13" s="5"/>
    </row>
    <row r="14" spans="1:11" ht="18.75" x14ac:dyDescent="0.3">
      <c r="A14" s="60">
        <v>13</v>
      </c>
      <c r="B14" s="64">
        <v>9233</v>
      </c>
      <c r="C14" s="64">
        <v>73712</v>
      </c>
      <c r="D14" s="66">
        <f t="shared" si="0"/>
        <v>7.9835373118163107</v>
      </c>
      <c r="K14" s="5"/>
    </row>
    <row r="15" spans="1:11" ht="18.75" x14ac:dyDescent="0.3">
      <c r="A15" s="60">
        <v>14</v>
      </c>
      <c r="B15" s="64">
        <v>45752</v>
      </c>
      <c r="C15" s="64">
        <v>365596</v>
      </c>
      <c r="D15" s="66">
        <f t="shared" si="0"/>
        <v>7.9908200734394121</v>
      </c>
      <c r="K15" s="5"/>
    </row>
    <row r="16" spans="1:11" ht="18.75" x14ac:dyDescent="0.3">
      <c r="A16" s="60">
        <v>15</v>
      </c>
      <c r="B16" s="64">
        <v>285053</v>
      </c>
      <c r="C16" s="64">
        <v>2279184</v>
      </c>
      <c r="D16" s="66">
        <f t="shared" si="0"/>
        <v>7.9956499317670753</v>
      </c>
    </row>
    <row r="17" spans="1:11" ht="18.75" x14ac:dyDescent="0.3">
      <c r="A17" s="60">
        <v>16</v>
      </c>
      <c r="B17" s="64">
        <v>1846955</v>
      </c>
      <c r="C17" s="64">
        <v>14772512</v>
      </c>
      <c r="D17" s="66">
        <f t="shared" si="0"/>
        <v>7.998306401617798</v>
      </c>
    </row>
    <row r="18" spans="1:11" ht="18.75" x14ac:dyDescent="0.3">
      <c r="A18" s="60">
        <v>17</v>
      </c>
      <c r="B18" s="64">
        <v>11977939</v>
      </c>
      <c r="C18" s="64">
        <v>95815104</v>
      </c>
      <c r="D18" s="66">
        <f t="shared" si="0"/>
        <v>7.9992980428435976</v>
      </c>
      <c r="K18" s="11"/>
    </row>
    <row r="19" spans="1:11" ht="18.75" x14ac:dyDescent="0.3">
      <c r="A19" s="60">
        <v>18</v>
      </c>
      <c r="B19" s="64"/>
      <c r="C19" s="63">
        <v>666090624</v>
      </c>
      <c r="D19" s="66">
        <f t="shared" si="0"/>
        <v>0</v>
      </c>
    </row>
    <row r="20" spans="1:11" ht="18.75" x14ac:dyDescent="0.3">
      <c r="A20" s="60">
        <v>19</v>
      </c>
      <c r="B20" s="63"/>
      <c r="C20" s="63">
        <v>4968057848</v>
      </c>
      <c r="D20" s="66">
        <f t="shared" si="0"/>
        <v>0</v>
      </c>
      <c r="K20" s="5"/>
    </row>
    <row r="21" spans="1:11" ht="18.75" x14ac:dyDescent="0.3">
      <c r="A21" s="60">
        <v>20</v>
      </c>
      <c r="B21" s="63"/>
      <c r="C21" s="63">
        <v>39029188884</v>
      </c>
      <c r="D21" s="66">
        <f t="shared" si="0"/>
        <v>0</v>
      </c>
      <c r="K21" s="5"/>
    </row>
    <row r="22" spans="1:11" ht="18.75" x14ac:dyDescent="0.3">
      <c r="A22" s="60">
        <v>21</v>
      </c>
      <c r="B22" s="63"/>
      <c r="C22" s="63">
        <v>314666222712</v>
      </c>
      <c r="D22" s="66">
        <f t="shared" si="0"/>
        <v>0</v>
      </c>
      <c r="K22" s="5"/>
    </row>
    <row r="23" spans="1:11" ht="18.75" x14ac:dyDescent="0.3">
      <c r="A23" s="60">
        <v>22</v>
      </c>
      <c r="B23" s="63"/>
      <c r="C23" s="63">
        <v>2691008701644</v>
      </c>
      <c r="D23" s="66">
        <f t="shared" si="0"/>
        <v>0</v>
      </c>
      <c r="K23" s="5"/>
    </row>
    <row r="24" spans="1:11" ht="18.75" x14ac:dyDescent="0.3">
      <c r="A24" s="60">
        <v>23</v>
      </c>
      <c r="B24" s="63"/>
      <c r="C24" s="63">
        <v>24233937684440</v>
      </c>
      <c r="D24" s="66">
        <f t="shared" si="0"/>
        <v>0</v>
      </c>
      <c r="K24" s="5"/>
    </row>
    <row r="25" spans="1:11" ht="18.75" x14ac:dyDescent="0.3">
      <c r="A25" s="60">
        <v>24</v>
      </c>
      <c r="B25" s="63">
        <v>28439272956934</v>
      </c>
      <c r="C25" s="63">
        <v>227514171973736</v>
      </c>
      <c r="D25" s="66">
        <f t="shared" si="0"/>
        <v>7.9999995892392883</v>
      </c>
      <c r="K25" s="5"/>
    </row>
    <row r="26" spans="1:11" ht="18.75" x14ac:dyDescent="0.3">
      <c r="A26" s="60">
        <v>25</v>
      </c>
      <c r="B26" s="63">
        <v>275986683743434</v>
      </c>
      <c r="C26" s="63">
        <v>2207893435808350</v>
      </c>
      <c r="D26" s="66">
        <f t="shared" si="0"/>
        <v>7.999999876301561</v>
      </c>
      <c r="K26" s="5"/>
    </row>
    <row r="27" spans="1:11" ht="19.5" thickBot="1" x14ac:dyDescent="0.35">
      <c r="A27" s="69">
        <v>26</v>
      </c>
      <c r="B27" s="70">
        <v>2789712466510280</v>
      </c>
      <c r="C27" s="70">
        <v>2.2317699616364E+16</v>
      </c>
      <c r="D27" s="71">
        <f t="shared" si="0"/>
        <v>7.9999999585196537</v>
      </c>
      <c r="K27" s="5"/>
    </row>
    <row r="28" spans="1:11" ht="15.75" thickTop="1" x14ac:dyDescent="0.25">
      <c r="D28" s="1"/>
    </row>
    <row r="29" spans="1:11" x14ac:dyDescent="0.25">
      <c r="D29" s="1"/>
    </row>
    <row r="30" spans="1:11" x14ac:dyDescent="0.25">
      <c r="D30" s="1"/>
    </row>
    <row r="31" spans="1:11" x14ac:dyDescent="0.25">
      <c r="D31" s="1"/>
    </row>
    <row r="32" spans="1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zoomScale="130" zoomScaleNormal="130" workbookViewId="0">
      <pane ySplit="1" topLeftCell="A2" activePane="bottomLeft" state="frozen"/>
      <selection pane="bottomLeft" activeCell="B32" sqref="B32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5" width="10.140625" style="3" bestFit="1" customWidth="1"/>
    <col min="6" max="6" width="12" style="3" bestFit="1" customWidth="1"/>
    <col min="7" max="7" width="8" style="3" bestFit="1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5.75" thickBot="1" x14ac:dyDescent="0.3">
      <c r="A1" s="9"/>
      <c r="B1" s="9" t="s">
        <v>6</v>
      </c>
      <c r="C1" s="34" t="s">
        <v>5</v>
      </c>
      <c r="D1" s="40" t="s">
        <v>0</v>
      </c>
      <c r="E1" s="53" t="s">
        <v>3</v>
      </c>
      <c r="F1" s="54"/>
      <c r="G1" s="55"/>
      <c r="H1" s="56" t="s">
        <v>7</v>
      </c>
      <c r="I1" s="57"/>
      <c r="J1" s="58"/>
    </row>
    <row r="2" spans="1:11" s="8" customFormat="1" ht="16.5" thickTop="1" thickBot="1" x14ac:dyDescent="0.3">
      <c r="A2" s="20"/>
      <c r="B2" s="21"/>
      <c r="C2" s="30"/>
      <c r="D2" s="41"/>
      <c r="E2" s="36" t="s">
        <v>2</v>
      </c>
      <c r="F2" s="23" t="s">
        <v>4</v>
      </c>
      <c r="G2" s="44" t="s">
        <v>1</v>
      </c>
      <c r="H2" s="22" t="s">
        <v>2</v>
      </c>
      <c r="I2" s="49" t="s">
        <v>4</v>
      </c>
      <c r="J2" s="49" t="s">
        <v>1</v>
      </c>
      <c r="K2" s="7"/>
    </row>
    <row r="3" spans="1:11" ht="15.75" thickTop="1" x14ac:dyDescent="0.25">
      <c r="A3" s="17">
        <v>1</v>
      </c>
      <c r="B3" s="18">
        <v>1</v>
      </c>
      <c r="C3" s="31">
        <v>1</v>
      </c>
      <c r="D3" s="42">
        <f>IF(B3=0,0,C3/B3)</f>
        <v>1</v>
      </c>
      <c r="E3" s="37">
        <v>0</v>
      </c>
      <c r="F3" s="19">
        <v>0</v>
      </c>
      <c r="G3" s="45"/>
      <c r="H3" s="24">
        <v>0</v>
      </c>
      <c r="I3" s="48"/>
      <c r="J3" s="26"/>
      <c r="K3" s="5"/>
    </row>
    <row r="4" spans="1:11" x14ac:dyDescent="0.25">
      <c r="A4" s="13">
        <v>2</v>
      </c>
      <c r="B4" s="14">
        <v>0</v>
      </c>
      <c r="C4" s="32">
        <v>0</v>
      </c>
      <c r="D4" s="43">
        <f>IF(B4=0,0,C4/B4)</f>
        <v>0</v>
      </c>
      <c r="E4" s="38">
        <v>0</v>
      </c>
      <c r="F4" s="4">
        <v>0</v>
      </c>
      <c r="G4" s="46"/>
      <c r="H4" s="10">
        <v>0</v>
      </c>
      <c r="I4" s="33"/>
      <c r="J4" s="15"/>
      <c r="K4" s="5"/>
    </row>
    <row r="5" spans="1:11" x14ac:dyDescent="0.25">
      <c r="A5" s="13">
        <v>3</v>
      </c>
      <c r="B5" s="14">
        <v>0</v>
      </c>
      <c r="C5" s="32">
        <v>0</v>
      </c>
      <c r="D5" s="43">
        <f t="shared" ref="D5:D28" si="0">IF(B5=0,0,C5/B5)</f>
        <v>0</v>
      </c>
      <c r="E5" s="38">
        <v>0</v>
      </c>
      <c r="F5" s="4">
        <v>0</v>
      </c>
      <c r="G5" s="46"/>
      <c r="H5" s="10">
        <v>0</v>
      </c>
      <c r="I5" s="33"/>
      <c r="J5" s="15"/>
      <c r="K5" s="5"/>
    </row>
    <row r="6" spans="1:11" x14ac:dyDescent="0.25">
      <c r="A6" s="13">
        <v>4</v>
      </c>
      <c r="B6" s="14">
        <v>1</v>
      </c>
      <c r="C6" s="32">
        <v>2</v>
      </c>
      <c r="D6" s="43">
        <f t="shared" si="0"/>
        <v>2</v>
      </c>
      <c r="E6" s="38">
        <v>0</v>
      </c>
      <c r="F6" s="4">
        <v>0</v>
      </c>
      <c r="G6" s="46"/>
      <c r="H6" s="10">
        <v>0</v>
      </c>
      <c r="I6" s="33"/>
      <c r="J6" s="15"/>
      <c r="K6" s="5"/>
    </row>
    <row r="7" spans="1:11" x14ac:dyDescent="0.25">
      <c r="A7" s="13">
        <v>5</v>
      </c>
      <c r="B7" s="14">
        <v>2</v>
      </c>
      <c r="C7" s="32">
        <v>10</v>
      </c>
      <c r="D7" s="43">
        <f t="shared" si="0"/>
        <v>5</v>
      </c>
      <c r="E7" s="38">
        <v>0</v>
      </c>
      <c r="F7" s="4">
        <v>0</v>
      </c>
      <c r="G7" s="46"/>
      <c r="H7" s="10">
        <v>0</v>
      </c>
      <c r="I7" s="33"/>
      <c r="J7" s="15"/>
      <c r="K7" s="5"/>
    </row>
    <row r="8" spans="1:11" x14ac:dyDescent="0.25">
      <c r="A8" s="13">
        <v>6</v>
      </c>
      <c r="B8" s="14">
        <v>1</v>
      </c>
      <c r="C8" s="32">
        <v>4</v>
      </c>
      <c r="D8" s="43">
        <f t="shared" si="0"/>
        <v>4</v>
      </c>
      <c r="E8" s="38">
        <v>0</v>
      </c>
      <c r="F8" s="4">
        <v>0</v>
      </c>
      <c r="G8" s="46"/>
      <c r="H8" s="10">
        <v>0</v>
      </c>
      <c r="I8" s="33"/>
      <c r="J8" s="15"/>
      <c r="K8" s="5"/>
    </row>
    <row r="9" spans="1:11" x14ac:dyDescent="0.25">
      <c r="A9" s="13">
        <v>7</v>
      </c>
      <c r="B9" s="14">
        <v>6</v>
      </c>
      <c r="C9" s="32">
        <v>40</v>
      </c>
      <c r="D9" s="43">
        <f t="shared" si="0"/>
        <v>6.666666666666667</v>
      </c>
      <c r="E9" s="38">
        <v>0</v>
      </c>
      <c r="F9" s="4">
        <v>0</v>
      </c>
      <c r="G9" s="46"/>
      <c r="H9" s="10">
        <v>0</v>
      </c>
      <c r="I9" s="33"/>
      <c r="J9" s="15"/>
      <c r="K9" s="5"/>
    </row>
    <row r="10" spans="1:11" x14ac:dyDescent="0.25">
      <c r="A10" s="13">
        <v>8</v>
      </c>
      <c r="B10" s="14">
        <v>12</v>
      </c>
      <c r="C10" s="32">
        <v>92</v>
      </c>
      <c r="D10" s="43">
        <f t="shared" si="0"/>
        <v>7.666666666666667</v>
      </c>
      <c r="E10" s="38">
        <v>0</v>
      </c>
      <c r="F10" s="4">
        <v>0</v>
      </c>
      <c r="G10" s="46"/>
      <c r="H10" s="10">
        <v>0</v>
      </c>
      <c r="I10" s="33"/>
      <c r="J10" s="15"/>
      <c r="K10" s="5"/>
    </row>
    <row r="11" spans="1:11" x14ac:dyDescent="0.25">
      <c r="A11" s="13">
        <v>9</v>
      </c>
      <c r="B11" s="14">
        <v>46</v>
      </c>
      <c r="C11" s="32">
        <v>352</v>
      </c>
      <c r="D11" s="43">
        <f t="shared" si="0"/>
        <v>7.6521739130434785</v>
      </c>
      <c r="E11" s="38">
        <v>0</v>
      </c>
      <c r="F11" s="4">
        <v>0</v>
      </c>
      <c r="G11" s="46"/>
      <c r="H11" s="10">
        <v>0</v>
      </c>
      <c r="I11" s="33"/>
      <c r="J11" s="15"/>
      <c r="K11" s="5"/>
    </row>
    <row r="12" spans="1:11" x14ac:dyDescent="0.25">
      <c r="A12" s="13">
        <v>10</v>
      </c>
      <c r="B12" s="14">
        <v>92</v>
      </c>
      <c r="C12" s="32">
        <v>724</v>
      </c>
      <c r="D12" s="43">
        <f t="shared" si="0"/>
        <v>7.8695652173913047</v>
      </c>
      <c r="E12" s="38">
        <v>0</v>
      </c>
      <c r="F12" s="4">
        <v>0</v>
      </c>
      <c r="G12" s="46"/>
      <c r="H12" s="10">
        <v>0</v>
      </c>
      <c r="I12" s="33"/>
      <c r="J12" s="15"/>
      <c r="K12" s="5"/>
    </row>
    <row r="13" spans="1:11" x14ac:dyDescent="0.25">
      <c r="A13" s="13">
        <v>11</v>
      </c>
      <c r="B13" s="14">
        <v>341</v>
      </c>
      <c r="C13" s="33">
        <v>2680</v>
      </c>
      <c r="D13" s="43">
        <f t="shared" si="0"/>
        <v>7.8592375366568916</v>
      </c>
      <c r="E13" s="38">
        <v>0</v>
      </c>
      <c r="F13" s="4">
        <v>0</v>
      </c>
      <c r="G13" s="46"/>
      <c r="H13" s="10">
        <v>0</v>
      </c>
      <c r="I13" s="33"/>
      <c r="J13" s="15"/>
      <c r="K13" s="5"/>
    </row>
    <row r="14" spans="1:11" x14ac:dyDescent="0.25">
      <c r="A14" s="13">
        <v>12</v>
      </c>
      <c r="B14" s="15">
        <v>1787</v>
      </c>
      <c r="C14" s="33">
        <v>14200</v>
      </c>
      <c r="D14" s="43">
        <f t="shared" si="0"/>
        <v>7.9462786793508675</v>
      </c>
      <c r="E14" s="38">
        <v>0</v>
      </c>
      <c r="F14" s="4">
        <v>0.1</v>
      </c>
      <c r="G14" s="46">
        <v>0.2</v>
      </c>
      <c r="H14" s="10">
        <v>0</v>
      </c>
      <c r="I14" s="33"/>
      <c r="J14" s="15"/>
      <c r="K14" s="5"/>
    </row>
    <row r="15" spans="1:11" x14ac:dyDescent="0.25">
      <c r="A15" s="13">
        <v>13</v>
      </c>
      <c r="B15" s="15">
        <v>9233</v>
      </c>
      <c r="C15" s="33">
        <v>73712</v>
      </c>
      <c r="D15" s="43">
        <f t="shared" si="0"/>
        <v>7.9835373118163107</v>
      </c>
      <c r="E15" s="38">
        <v>0</v>
      </c>
      <c r="F15" s="4">
        <v>0.5</v>
      </c>
      <c r="G15" s="46">
        <v>1</v>
      </c>
      <c r="H15" s="10">
        <v>0</v>
      </c>
      <c r="I15" s="33"/>
      <c r="J15" s="15"/>
      <c r="K15" s="5"/>
    </row>
    <row r="16" spans="1:11" x14ac:dyDescent="0.25">
      <c r="A16" s="13">
        <v>14</v>
      </c>
      <c r="B16" s="15">
        <v>45752</v>
      </c>
      <c r="C16" s="33">
        <v>365596</v>
      </c>
      <c r="D16" s="43">
        <f t="shared" si="0"/>
        <v>7.9908200734394121</v>
      </c>
      <c r="E16" s="38">
        <v>0</v>
      </c>
      <c r="F16" s="4">
        <v>3.1</v>
      </c>
      <c r="G16" s="46">
        <v>5.3</v>
      </c>
      <c r="H16" s="10">
        <v>0</v>
      </c>
      <c r="I16" s="33">
        <v>170.3</v>
      </c>
      <c r="J16" s="15">
        <v>527.4</v>
      </c>
    </row>
    <row r="17" spans="1:11" x14ac:dyDescent="0.25">
      <c r="A17" s="13">
        <v>15</v>
      </c>
      <c r="B17" s="15">
        <v>285053</v>
      </c>
      <c r="C17" s="33">
        <v>2279184</v>
      </c>
      <c r="D17" s="43">
        <f t="shared" si="0"/>
        <v>7.9956499317670753</v>
      </c>
      <c r="E17" s="38">
        <v>0</v>
      </c>
      <c r="F17" s="4">
        <v>12</v>
      </c>
      <c r="G17" s="46">
        <v>13.8</v>
      </c>
      <c r="H17" s="10">
        <v>0</v>
      </c>
      <c r="I17" s="33">
        <v>440</v>
      </c>
      <c r="J17" s="15">
        <v>4820</v>
      </c>
    </row>
    <row r="18" spans="1:11" x14ac:dyDescent="0.25">
      <c r="A18" s="13">
        <v>16</v>
      </c>
      <c r="B18" s="15">
        <v>1846955</v>
      </c>
      <c r="C18" s="33">
        <v>14772512</v>
      </c>
      <c r="D18" s="43">
        <f t="shared" si="0"/>
        <v>7.998306401617798</v>
      </c>
      <c r="E18" s="38">
        <v>0</v>
      </c>
      <c r="F18" s="4">
        <v>80.400000000000006</v>
      </c>
      <c r="G18" s="46">
        <v>98.4</v>
      </c>
      <c r="H18" s="10">
        <v>0</v>
      </c>
      <c r="I18" s="33">
        <v>3740</v>
      </c>
      <c r="J18" s="50">
        <v>3160</v>
      </c>
      <c r="K18" s="11"/>
    </row>
    <row r="19" spans="1:11" x14ac:dyDescent="0.25">
      <c r="A19" s="13">
        <v>17</v>
      </c>
      <c r="B19" s="15">
        <v>11977939</v>
      </c>
      <c r="C19" s="33">
        <v>95815104</v>
      </c>
      <c r="D19" s="43">
        <f t="shared" si="0"/>
        <v>7.9992980428435976</v>
      </c>
      <c r="E19" s="38">
        <v>0</v>
      </c>
      <c r="F19" s="4">
        <v>667</v>
      </c>
      <c r="G19" s="46"/>
      <c r="H19" s="10">
        <v>0</v>
      </c>
      <c r="I19" s="33">
        <v>14630</v>
      </c>
      <c r="J19" s="15"/>
    </row>
    <row r="20" spans="1:11" x14ac:dyDescent="0.25">
      <c r="A20" s="13">
        <v>18</v>
      </c>
      <c r="B20" s="14"/>
      <c r="C20" s="33">
        <v>666090624</v>
      </c>
      <c r="D20" s="43">
        <f t="shared" si="0"/>
        <v>0</v>
      </c>
      <c r="E20" s="38">
        <v>0</v>
      </c>
      <c r="F20" s="4"/>
      <c r="G20" s="46"/>
      <c r="H20" s="10">
        <v>0</v>
      </c>
      <c r="I20" s="33"/>
      <c r="J20" s="15"/>
      <c r="K20" s="5"/>
    </row>
    <row r="21" spans="1:11" x14ac:dyDescent="0.25">
      <c r="A21" s="13">
        <v>19</v>
      </c>
      <c r="B21" s="14"/>
      <c r="C21" s="33">
        <v>4968057848</v>
      </c>
      <c r="D21" s="43">
        <f t="shared" si="0"/>
        <v>0</v>
      </c>
      <c r="E21" s="38">
        <v>0</v>
      </c>
      <c r="F21" s="4"/>
      <c r="G21" s="46"/>
      <c r="H21" s="10">
        <v>0</v>
      </c>
      <c r="I21" s="33"/>
      <c r="J21" s="15"/>
      <c r="K21" s="5"/>
    </row>
    <row r="22" spans="1:11" x14ac:dyDescent="0.25">
      <c r="A22" s="13">
        <v>20</v>
      </c>
      <c r="B22" s="14"/>
      <c r="C22" s="33">
        <v>39029188884</v>
      </c>
      <c r="D22" s="43">
        <f t="shared" si="0"/>
        <v>0</v>
      </c>
      <c r="E22" s="38">
        <v>0</v>
      </c>
      <c r="F22" s="4"/>
      <c r="G22" s="46"/>
      <c r="H22" s="10">
        <v>0</v>
      </c>
      <c r="I22" s="33"/>
      <c r="J22" s="15"/>
      <c r="K22" s="5"/>
    </row>
    <row r="23" spans="1:11" x14ac:dyDescent="0.25">
      <c r="A23" s="13">
        <v>21</v>
      </c>
      <c r="B23" s="14"/>
      <c r="C23" s="33">
        <v>314666222712</v>
      </c>
      <c r="D23" s="43">
        <f t="shared" si="0"/>
        <v>0</v>
      </c>
      <c r="E23" s="38">
        <v>0</v>
      </c>
      <c r="F23" s="4"/>
      <c r="G23" s="46"/>
      <c r="H23" s="10">
        <v>0</v>
      </c>
      <c r="I23" s="33"/>
      <c r="J23" s="15"/>
      <c r="K23" s="5"/>
    </row>
    <row r="24" spans="1:11" x14ac:dyDescent="0.25">
      <c r="A24" s="13">
        <v>22</v>
      </c>
      <c r="B24" s="14"/>
      <c r="C24" s="33">
        <v>2691008701644</v>
      </c>
      <c r="D24" s="43">
        <f t="shared" si="0"/>
        <v>0</v>
      </c>
      <c r="E24" s="38">
        <v>0</v>
      </c>
      <c r="F24" s="4"/>
      <c r="G24" s="46"/>
      <c r="H24" s="10">
        <v>0</v>
      </c>
      <c r="I24" s="33"/>
      <c r="J24" s="15"/>
      <c r="K24" s="5"/>
    </row>
    <row r="25" spans="1:11" x14ac:dyDescent="0.25">
      <c r="A25" s="13">
        <v>23</v>
      </c>
      <c r="B25" s="14"/>
      <c r="C25" s="33">
        <v>24233937684440</v>
      </c>
      <c r="D25" s="43">
        <f t="shared" si="0"/>
        <v>0</v>
      </c>
      <c r="E25" s="38">
        <v>0</v>
      </c>
      <c r="F25" s="4"/>
      <c r="G25" s="46"/>
      <c r="H25" s="10">
        <v>0</v>
      </c>
      <c r="I25" s="33"/>
      <c r="J25" s="15"/>
      <c r="K25" s="5"/>
    </row>
    <row r="26" spans="1:11" x14ac:dyDescent="0.25">
      <c r="A26" s="13">
        <v>24</v>
      </c>
      <c r="B26" s="15">
        <v>28439272956934</v>
      </c>
      <c r="C26" s="33">
        <v>227514171973736</v>
      </c>
      <c r="D26" s="43">
        <f t="shared" si="0"/>
        <v>7.9999995892392883</v>
      </c>
      <c r="E26" s="38">
        <v>0</v>
      </c>
      <c r="F26" s="4"/>
      <c r="G26" s="46"/>
      <c r="H26" s="10">
        <v>0</v>
      </c>
      <c r="I26" s="33"/>
      <c r="J26" s="15"/>
      <c r="K26" s="5"/>
    </row>
    <row r="27" spans="1:11" x14ac:dyDescent="0.25">
      <c r="A27" s="13">
        <v>25</v>
      </c>
      <c r="B27" s="15">
        <v>275986683743434</v>
      </c>
      <c r="C27" s="33">
        <v>2207893435808350</v>
      </c>
      <c r="D27" s="43">
        <f t="shared" si="0"/>
        <v>7.999999876301561</v>
      </c>
      <c r="E27" s="38">
        <v>0</v>
      </c>
      <c r="F27" s="4"/>
      <c r="G27" s="46"/>
      <c r="H27" s="10">
        <v>0</v>
      </c>
      <c r="I27" s="33"/>
      <c r="J27" s="15"/>
      <c r="K27" s="5"/>
    </row>
    <row r="28" spans="1:11" x14ac:dyDescent="0.25">
      <c r="A28" s="13">
        <v>26</v>
      </c>
      <c r="B28" s="15">
        <v>2789712466510280</v>
      </c>
      <c r="C28" s="33">
        <v>2.2317699616364E+16</v>
      </c>
      <c r="D28" s="43">
        <f t="shared" si="0"/>
        <v>7.9999999585196537</v>
      </c>
      <c r="E28" s="38">
        <v>0.2</v>
      </c>
      <c r="F28" s="4"/>
      <c r="G28" s="46"/>
      <c r="H28" s="10">
        <v>0.2</v>
      </c>
      <c r="I28" s="33"/>
      <c r="J28" s="15"/>
      <c r="K28" s="5"/>
    </row>
    <row r="29" spans="1:11" x14ac:dyDescent="0.25">
      <c r="A29" s="17">
        <v>27</v>
      </c>
      <c r="B29" s="14"/>
      <c r="C29" s="33"/>
      <c r="D29" s="43"/>
      <c r="E29" s="38"/>
      <c r="F29" s="4"/>
      <c r="G29" s="46"/>
      <c r="H29" s="10"/>
      <c r="I29" s="33"/>
      <c r="J29" s="15"/>
    </row>
    <row r="30" spans="1:11" x14ac:dyDescent="0.25">
      <c r="A30" s="13">
        <v>28</v>
      </c>
      <c r="B30" s="15"/>
      <c r="C30" s="33"/>
      <c r="D30" s="43"/>
      <c r="E30" s="38"/>
      <c r="F30" s="4"/>
      <c r="G30" s="46"/>
      <c r="H30" s="10"/>
      <c r="I30" s="33"/>
      <c r="J30" s="15"/>
    </row>
    <row r="31" spans="1:11" x14ac:dyDescent="0.25">
      <c r="A31" s="13">
        <v>29</v>
      </c>
      <c r="B31" s="15"/>
      <c r="C31" s="33"/>
      <c r="D31" s="43"/>
      <c r="E31" s="38"/>
      <c r="F31" s="4"/>
      <c r="G31" s="46"/>
      <c r="H31" s="10"/>
      <c r="I31" s="33"/>
      <c r="J31" s="15"/>
    </row>
    <row r="32" spans="1:11" x14ac:dyDescent="0.25">
      <c r="A32" s="13">
        <v>30</v>
      </c>
      <c r="B32" s="14"/>
      <c r="C32" s="33"/>
      <c r="D32" s="43"/>
      <c r="E32" s="38"/>
      <c r="F32" s="4"/>
      <c r="G32" s="46"/>
      <c r="H32" s="10"/>
      <c r="I32" s="33"/>
      <c r="J32" s="15"/>
    </row>
    <row r="33" spans="1:10" x14ac:dyDescent="0.25">
      <c r="A33" s="13">
        <v>31</v>
      </c>
      <c r="B33" s="15"/>
      <c r="C33" s="33"/>
      <c r="D33" s="43"/>
      <c r="E33" s="38"/>
      <c r="F33" s="4"/>
      <c r="G33" s="46"/>
      <c r="H33" s="10"/>
      <c r="I33" s="33"/>
      <c r="J33" s="15"/>
    </row>
    <row r="34" spans="1:10" x14ac:dyDescent="0.25">
      <c r="A34" s="13">
        <v>32</v>
      </c>
      <c r="B34" s="15"/>
      <c r="C34" s="33"/>
      <c r="D34" s="43"/>
      <c r="E34" s="38"/>
      <c r="F34" s="4"/>
      <c r="G34" s="46"/>
      <c r="H34" s="10"/>
      <c r="I34" s="33"/>
      <c r="J34" s="15"/>
    </row>
    <row r="35" spans="1:10" x14ac:dyDescent="0.25">
      <c r="A35" s="13">
        <v>33</v>
      </c>
      <c r="B35" s="14"/>
      <c r="C35" s="33"/>
      <c r="D35" s="43"/>
      <c r="E35" s="38"/>
      <c r="F35" s="4"/>
      <c r="G35" s="46"/>
      <c r="H35" s="10"/>
      <c r="I35" s="33"/>
      <c r="J35" s="15"/>
    </row>
    <row r="36" spans="1:10" x14ac:dyDescent="0.25">
      <c r="A36" s="13">
        <v>34</v>
      </c>
      <c r="B36" s="15"/>
      <c r="C36" s="33"/>
      <c r="D36" s="43"/>
      <c r="E36" s="38"/>
      <c r="F36" s="4"/>
      <c r="G36" s="46"/>
      <c r="H36" s="10"/>
      <c r="I36" s="33"/>
      <c r="J36" s="15"/>
    </row>
    <row r="37" spans="1:10" x14ac:dyDescent="0.25">
      <c r="A37" s="13">
        <v>35</v>
      </c>
      <c r="B37" s="15"/>
      <c r="C37" s="33"/>
      <c r="D37" s="43"/>
      <c r="E37" s="38"/>
      <c r="F37" s="4"/>
      <c r="G37" s="46"/>
      <c r="H37" s="10"/>
      <c r="I37" s="33"/>
      <c r="J37" s="15"/>
    </row>
    <row r="38" spans="1:10" x14ac:dyDescent="0.25">
      <c r="A38" s="13">
        <v>36</v>
      </c>
      <c r="B38" s="14"/>
      <c r="C38" s="33"/>
      <c r="D38" s="43"/>
      <c r="E38" s="38"/>
      <c r="F38" s="4"/>
      <c r="G38" s="46"/>
      <c r="H38" s="10"/>
      <c r="I38" s="33"/>
      <c r="J38" s="15"/>
    </row>
    <row r="39" spans="1:10" ht="15.75" thickBot="1" x14ac:dyDescent="0.3">
      <c r="A39" s="29">
        <v>37</v>
      </c>
      <c r="B39" s="16"/>
      <c r="C39" s="35"/>
      <c r="D39" s="27"/>
      <c r="E39" s="39"/>
      <c r="F39" s="28"/>
      <c r="G39" s="47"/>
      <c r="H39" s="25"/>
      <c r="I39" s="12"/>
      <c r="J39" s="16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Solution Overview</vt:lpstr>
      <vt:lpstr>Resource Usage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2024-11-24T18:31:53Z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