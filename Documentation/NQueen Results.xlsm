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5A6E5FFB-1D9F-486F-B765-BD28F5C5DF03}" xr6:coauthVersionLast="47" xr6:coauthVersionMax="47" xr10:uidLastSave="{00000000-0000-0000-0000-000000000000}"/>
  <bookViews>
    <workbookView xWindow="-28905" yWindow="0" windowWidth="14610" windowHeight="17385" activeTab="1" xr2:uid="{00000000-000D-0000-FFFF-FFFF00000000}"/>
  </bookViews>
  <sheets>
    <sheet name="Solution Overview" sheetId="2" r:id="rId1"/>
    <sheet name="Resource Usag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" l="1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<sst xmlns="http://schemas.openxmlformats.org/spreadsheetml/2006/main" count="15" uniqueCount="10">
  <si>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</si>
  <si>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</si>
  <si>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</si>
  <si>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</si>
  <si>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</si>
  <si>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</si>
  <si>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</si>
  <si>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</si>
  <si>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r>
      <t>Board Size (</t>
    </r>
    <r>
      <rPr>
        <b/>
        <i/>
        <sz val="16"/>
        <color rgb="FFFF0000"/>
        <rFont val="Calibri"/>
        <family val="2"/>
        <scheme val="minor"/>
      </rPr>
      <t>N</t>
    </r>
    <r>
      <rPr>
        <b/>
        <sz val="16"/>
        <color rgb="FFFF0000"/>
        <rFont val="Calibri"/>
        <family val="2"/>
        <scheme val="minor"/>
      </rPr>
      <t>)</t>
    </r>
  </si>
  <si>
    <r>
      <t>Factor (</t>
    </r>
    <r>
      <rPr>
        <b/>
        <i/>
        <sz val="16"/>
        <color rgb="FFFF0000"/>
        <rFont val="Calibri"/>
        <family val="2"/>
        <scheme val="minor"/>
      </rPr>
      <t>F</t>
    </r>
    <r>
      <rPr>
        <b/>
        <sz val="16"/>
        <color rgb="FFFF0000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</si>
</sst>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,##0.0"/>
    <numFmt numFmtId="166" formatCode="#,##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0" fontId="7" fillId="0" borderId="0" xfId="0" applyFont="1"/>
    <xf numFmtId="0" fontId="6" fillId="0" borderId="0" xfId="0" applyFont="1"/>
    <xf numFmtId="0" fontId="6" fillId="0" borderId="30" xfId="0" applyFont="1" applyBorder="1"/>
    <xf numFmtId="0" fontId="5" fillId="0" borderId="12" xfId="0" applyFont="1" applyBorder="1"/>
    <xf numFmtId="0" fontId="6" fillId="0" borderId="31" xfId="0" applyFont="1" applyBorder="1"/>
    <xf numFmtId="0" fontId="4" fillId="0" borderId="1" xfId="0" applyFont="1" applyBorder="1"/>
    <xf numFmtId="0" fontId="5" fillId="0" borderId="1" xfId="0" applyFont="1" applyBorder="1"/>
    <xf numFmtId="3" fontId="5" fillId="0" borderId="1" xfId="0" applyNumberFormat="1" applyFont="1" applyBorder="1"/>
    <xf numFmtId="164" fontId="5" fillId="0" borderId="23" xfId="0" applyNumberFormat="1" applyFont="1" applyBorder="1"/>
    <xf numFmtId="164" fontId="5" fillId="0" borderId="20" xfId="0" applyNumberFormat="1" applyFont="1" applyBorder="1"/>
    <xf numFmtId="164" fontId="6" fillId="0" borderId="33" xfId="0" applyNumberFormat="1" applyFont="1" applyBorder="1"/>
    <xf numFmtId="0" fontId="4" fillId="0" borderId="32" xfId="0" applyFont="1" applyBorder="1"/>
    <xf numFmtId="0" fontId="4" fillId="0" borderId="2" xfId="0" applyFont="1" applyBorder="1"/>
    <xf numFmtId="0" fontId="5" fillId="0" borderId="2" xfId="0" applyFont="1" applyBorder="1"/>
    <xf numFmtId="166" fontId="5" fillId="0" borderId="21" xfId="0" applyNumberFormat="1" applyFont="1" applyBorder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8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'Solution Overview'!$A$2:$A$18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xVal>
          <c:yVal>
            <c:numRef>
              <c:f>'Solution Overview'!$D$2:$D$18</c:f>
              <c:numCache>
                <c:formatCode>0.0000</c:formatCode>
                <c:ptCount val="17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6.666666666666667</c:v>
                </c:pt>
                <c:pt idx="7">
                  <c:v>7.666666666666667</c:v>
                </c:pt>
                <c:pt idx="8">
                  <c:v>7.6521739130434785</c:v>
                </c:pt>
                <c:pt idx="9">
                  <c:v>7.8695652173913047</c:v>
                </c:pt>
                <c:pt idx="10">
                  <c:v>7.8592375366568916</c:v>
                </c:pt>
                <c:pt idx="11">
                  <c:v>7.9462786793508675</c:v>
                </c:pt>
                <c:pt idx="12">
                  <c:v>7.9835373118163107</c:v>
                </c:pt>
                <c:pt idx="13">
                  <c:v>7.9908200734394121</c:v>
                </c:pt>
                <c:pt idx="14">
                  <c:v>7.9956499317670753</c:v>
                </c:pt>
                <c:pt idx="15">
                  <c:v>7.998306401617798</c:v>
                </c:pt>
                <c:pt idx="16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F</a:t>
                </a:r>
              </a:p>
            </c:rich>
          </c:tx>
          <c:layout>
            <c:manualLayout>
              <c:xMode val="edge"/>
              <c:yMode val="edge"/>
              <c:x val="3.5450114570862406E-3"/>
              <c:y val="0.41385750278482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Unique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'Solution Overview'!$A$5:$A$18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'Solution Overview'!$B$5:$B$18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All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'Solution Overview'!$A$5:$A$18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'Solution Overview'!$C$5:$C$18</c:f>
              <c:numCache>
                <c:formatCode>General</c:formatCode>
                <c:ptCount val="14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DF-466B-B545-7410B6179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2200144773139234"/>
              <c:y val="0.907587200416267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</c:valAx>
      <c:valAx>
        <c:axId val="436881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231551934645139"/>
          <c:y val="0.30559049737460242"/>
          <c:w val="0.44505770306069131"/>
          <c:h val="5.1928546320263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7327</xdr:colOff>
      <xdr:row>1</xdr:row>
      <xdr:rowOff>9525</xdr:rowOff>
    </xdr:from>
    <xdr:to>
      <xdr:col>17</xdr:col>
      <xdr:colOff>19050</xdr:colOff>
      <xdr:row>27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733425</xdr:colOff>
      <xdr:row>1</xdr:row>
      <xdr:rowOff>4761</xdr:rowOff>
    </xdr:from>
    <xdr:to>
      <xdr:col>29</xdr:col>
      <xdr:colOff>0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E35BCF-2B15-261F-738B-AF8638506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AB31" sqref="AB31"/>
    </sheetView>
  </sheetViews>
  <sheetFormatPr defaultColWidth="8.7109375" defaultRowHeight="15" x14ac:dyDescent="0.25"/>
  <cols>
    <col min="1" max="1" width="21.5703125" style="1" customWidth="1"/>
    <col min="2" max="2" width="28.28515625" style="1" bestFit="1" customWidth="1"/>
    <col min="3" max="3" width="29.7109375" style="1" bestFit="1" customWidth="1"/>
    <col min="4" max="4" width="14" style="2" customWidth="1"/>
    <col min="5" max="5" width="10.140625" style="1" bestFit="1" customWidth="1"/>
    <col min="6" max="6" width="12" style="1" bestFit="1" customWidth="1"/>
    <col min="7" max="15" width="11" style="1" customWidth="1"/>
    <col min="16" max="17" width="8.7109375" style="1"/>
    <col min="18" max="29" width="11.140625" style="1" customWidth="1"/>
    <col min="30" max="16384" width="8.7109375" style="1"/>
  </cols>
  <sheetData>
    <row r="1" spans="1:11" s="52" customFormat="1" ht="21" x14ac:dyDescent="0.35">
      <c r="A1" s="53" t="s">
        <v>8</v>
      </c>
      <c r="B1" s="55" t="s">
        <v>6</v>
      </c>
      <c r="C1" s="53" t="s">
        <v>5</v>
      </c>
      <c r="D1" s="61" t="s">
        <v>9</v>
      </c>
      <c r="E1" s="51"/>
      <c r="F1" s="51"/>
      <c r="G1" s="51"/>
      <c r="H1" s="51"/>
      <c r="I1" s="51"/>
      <c r="J1" s="51"/>
    </row>
    <row r="2" spans="1:11" s="8" customFormat="1" ht="18.75" x14ac:dyDescent="0.3">
      <c r="A2" s="56">
        <v>1</v>
      </c>
      <c r="B2" s="56">
        <v>1</v>
      </c>
      <c r="C2" s="56">
        <v>1</v>
      </c>
      <c r="D2" s="62">
        <f>IF(B2=0,0,C2/B2)</f>
        <v>1</v>
      </c>
      <c r="E2" s="1"/>
      <c r="F2" s="1"/>
      <c r="G2" s="1"/>
      <c r="H2" s="1"/>
      <c r="I2" s="1"/>
      <c r="J2" s="1"/>
      <c r="K2" s="7"/>
    </row>
    <row r="3" spans="1:11" ht="18.75" x14ac:dyDescent="0.3">
      <c r="A3" s="54">
        <v>2</v>
      </c>
      <c r="B3" s="57">
        <v>0</v>
      </c>
      <c r="C3" s="57">
        <v>0</v>
      </c>
      <c r="D3" s="59">
        <f>IF(B3=0,0,C3/B3)</f>
        <v>0</v>
      </c>
      <c r="K3" s="5"/>
    </row>
    <row r="4" spans="1:11" ht="18.75" x14ac:dyDescent="0.3">
      <c r="A4" s="54">
        <v>3</v>
      </c>
      <c r="B4" s="57">
        <v>0</v>
      </c>
      <c r="C4" s="57">
        <v>0</v>
      </c>
      <c r="D4" s="60">
        <f t="shared" ref="D4:D27" si="0">IF(B4=0,0,C4/B4)</f>
        <v>0</v>
      </c>
      <c r="K4" s="5"/>
    </row>
    <row r="5" spans="1:11" ht="18.75" x14ac:dyDescent="0.3">
      <c r="A5" s="54">
        <v>4</v>
      </c>
      <c r="B5" s="57">
        <v>1</v>
      </c>
      <c r="C5" s="57">
        <v>2</v>
      </c>
      <c r="D5" s="60">
        <f t="shared" si="0"/>
        <v>2</v>
      </c>
      <c r="K5" s="5"/>
    </row>
    <row r="6" spans="1:11" ht="18.75" x14ac:dyDescent="0.3">
      <c r="A6" s="54">
        <v>5</v>
      </c>
      <c r="B6" s="57">
        <v>2</v>
      </c>
      <c r="C6" s="57">
        <v>10</v>
      </c>
      <c r="D6" s="60">
        <f t="shared" si="0"/>
        <v>5</v>
      </c>
      <c r="K6" s="5"/>
    </row>
    <row r="7" spans="1:11" ht="18.75" x14ac:dyDescent="0.3">
      <c r="A7" s="54">
        <v>6</v>
      </c>
      <c r="B7" s="57">
        <v>1</v>
      </c>
      <c r="C7" s="57">
        <v>4</v>
      </c>
      <c r="D7" s="60">
        <f t="shared" si="0"/>
        <v>4</v>
      </c>
      <c r="K7" s="5"/>
    </row>
    <row r="8" spans="1:11" ht="18.75" x14ac:dyDescent="0.3">
      <c r="A8" s="54">
        <v>7</v>
      </c>
      <c r="B8" s="57">
        <v>6</v>
      </c>
      <c r="C8" s="57">
        <v>40</v>
      </c>
      <c r="D8" s="60">
        <f t="shared" si="0"/>
        <v>6.666666666666667</v>
      </c>
      <c r="K8" s="5"/>
    </row>
    <row r="9" spans="1:11" ht="18.75" x14ac:dyDescent="0.3">
      <c r="A9" s="54">
        <v>8</v>
      </c>
      <c r="B9" s="57">
        <v>12</v>
      </c>
      <c r="C9" s="57">
        <v>92</v>
      </c>
      <c r="D9" s="60">
        <f t="shared" si="0"/>
        <v>7.666666666666667</v>
      </c>
      <c r="K9" s="5"/>
    </row>
    <row r="10" spans="1:11" ht="18.75" x14ac:dyDescent="0.3">
      <c r="A10" s="54">
        <v>9</v>
      </c>
      <c r="B10" s="57">
        <v>46</v>
      </c>
      <c r="C10" s="57">
        <v>352</v>
      </c>
      <c r="D10" s="60">
        <f t="shared" si="0"/>
        <v>7.6521739130434785</v>
      </c>
      <c r="K10" s="5"/>
    </row>
    <row r="11" spans="1:11" ht="18.75" x14ac:dyDescent="0.3">
      <c r="A11" s="54">
        <v>10</v>
      </c>
      <c r="B11" s="57">
        <v>92</v>
      </c>
      <c r="C11" s="57">
        <v>724</v>
      </c>
      <c r="D11" s="60">
        <f t="shared" si="0"/>
        <v>7.8695652173913047</v>
      </c>
      <c r="K11" s="5"/>
    </row>
    <row r="12" spans="1:11" ht="18.75" x14ac:dyDescent="0.3">
      <c r="A12" s="54">
        <v>11</v>
      </c>
      <c r="B12" s="57">
        <v>341</v>
      </c>
      <c r="C12" s="57">
        <v>2680</v>
      </c>
      <c r="D12" s="60">
        <f t="shared" si="0"/>
        <v>7.8592375366568916</v>
      </c>
      <c r="K12" s="5"/>
    </row>
    <row r="13" spans="1:11" ht="18.75" x14ac:dyDescent="0.3">
      <c r="A13" s="54">
        <v>12</v>
      </c>
      <c r="B13" s="57">
        <v>1787</v>
      </c>
      <c r="C13" s="57">
        <v>14200</v>
      </c>
      <c r="D13" s="60">
        <f t="shared" si="0"/>
        <v>7.9462786793508675</v>
      </c>
      <c r="K13" s="5"/>
    </row>
    <row r="14" spans="1:11" ht="18.75" x14ac:dyDescent="0.3">
      <c r="A14" s="54">
        <v>13</v>
      </c>
      <c r="B14" s="58">
        <v>9233</v>
      </c>
      <c r="C14" s="58">
        <v>73712</v>
      </c>
      <c r="D14" s="60">
        <f t="shared" si="0"/>
        <v>7.9835373118163107</v>
      </c>
      <c r="K14" s="5"/>
    </row>
    <row r="15" spans="1:11" ht="18.75" x14ac:dyDescent="0.3">
      <c r="A15" s="54">
        <v>14</v>
      </c>
      <c r="B15" s="58">
        <v>45752</v>
      </c>
      <c r="C15" s="58">
        <v>365596</v>
      </c>
      <c r="D15" s="60">
        <f t="shared" si="0"/>
        <v>7.9908200734394121</v>
      </c>
      <c r="K15" s="5"/>
    </row>
    <row r="16" spans="1:11" ht="18.75" x14ac:dyDescent="0.3">
      <c r="A16" s="54">
        <v>15</v>
      </c>
      <c r="B16" s="58">
        <v>285053</v>
      </c>
      <c r="C16" s="58">
        <v>2279184</v>
      </c>
      <c r="D16" s="60">
        <f t="shared" si="0"/>
        <v>7.9956499317670753</v>
      </c>
    </row>
    <row r="17" spans="1:11" ht="18.75" x14ac:dyDescent="0.3">
      <c r="A17" s="54">
        <v>16</v>
      </c>
      <c r="B17" s="58">
        <v>1846955</v>
      </c>
      <c r="C17" s="58">
        <v>14772512</v>
      </c>
      <c r="D17" s="60">
        <f t="shared" si="0"/>
        <v>7.998306401617798</v>
      </c>
    </row>
    <row r="18" spans="1:11" ht="18.75" x14ac:dyDescent="0.3">
      <c r="A18" s="54">
        <v>17</v>
      </c>
      <c r="B18" s="58">
        <v>11977939</v>
      </c>
      <c r="C18" s="58">
        <v>95815104</v>
      </c>
      <c r="D18" s="60">
        <f t="shared" si="0"/>
        <v>7.9992980428435976</v>
      </c>
      <c r="K18" s="11"/>
    </row>
    <row r="19" spans="1:11" ht="18.75" x14ac:dyDescent="0.3">
      <c r="A19" s="54">
        <v>18</v>
      </c>
      <c r="B19" s="58"/>
      <c r="C19" s="57">
        <v>666090624</v>
      </c>
      <c r="D19" s="60">
        <f t="shared" si="0"/>
        <v>0</v>
      </c>
    </row>
    <row r="20" spans="1:11" ht="18.75" x14ac:dyDescent="0.3">
      <c r="A20" s="54">
        <v>19</v>
      </c>
      <c r="B20" s="57"/>
      <c r="C20" s="57">
        <v>4968057848</v>
      </c>
      <c r="D20" s="60">
        <f t="shared" si="0"/>
        <v>0</v>
      </c>
      <c r="K20" s="5"/>
    </row>
    <row r="21" spans="1:11" ht="18.75" x14ac:dyDescent="0.3">
      <c r="A21" s="54">
        <v>20</v>
      </c>
      <c r="B21" s="57"/>
      <c r="C21" s="57">
        <v>39029188884</v>
      </c>
      <c r="D21" s="60">
        <f t="shared" si="0"/>
        <v>0</v>
      </c>
      <c r="K21" s="5"/>
    </row>
    <row r="22" spans="1:11" ht="18.75" x14ac:dyDescent="0.3">
      <c r="A22" s="54">
        <v>21</v>
      </c>
      <c r="B22" s="57"/>
      <c r="C22" s="57">
        <v>314666222712</v>
      </c>
      <c r="D22" s="60">
        <f t="shared" si="0"/>
        <v>0</v>
      </c>
      <c r="K22" s="5"/>
    </row>
    <row r="23" spans="1:11" ht="18.75" x14ac:dyDescent="0.3">
      <c r="A23" s="54">
        <v>22</v>
      </c>
      <c r="B23" s="57"/>
      <c r="C23" s="57">
        <v>2691008701644</v>
      </c>
      <c r="D23" s="60">
        <f t="shared" si="0"/>
        <v>0</v>
      </c>
      <c r="K23" s="5"/>
    </row>
    <row r="24" spans="1:11" ht="18.75" x14ac:dyDescent="0.3">
      <c r="A24" s="54">
        <v>23</v>
      </c>
      <c r="B24" s="57"/>
      <c r="C24" s="57">
        <v>24233937684440</v>
      </c>
      <c r="D24" s="60">
        <f t="shared" si="0"/>
        <v>0</v>
      </c>
      <c r="K24" s="5"/>
    </row>
    <row r="25" spans="1:11" ht="18.75" x14ac:dyDescent="0.3">
      <c r="A25" s="54">
        <v>24</v>
      </c>
      <c r="B25" s="57">
        <v>28439272956934</v>
      </c>
      <c r="C25" s="57">
        <v>227514171973736</v>
      </c>
      <c r="D25" s="60">
        <f t="shared" si="0"/>
        <v>7.9999995892392883</v>
      </c>
      <c r="K25" s="5"/>
    </row>
    <row r="26" spans="1:11" ht="18.75" x14ac:dyDescent="0.3">
      <c r="A26" s="54">
        <v>25</v>
      </c>
      <c r="B26" s="57">
        <v>275986683743434</v>
      </c>
      <c r="C26" s="57">
        <v>2207893435808350</v>
      </c>
      <c r="D26" s="60">
        <f t="shared" si="0"/>
        <v>7.999999876301561</v>
      </c>
      <c r="K26" s="5"/>
    </row>
    <row r="27" spans="1:11" ht="19.5" thickBot="1" x14ac:dyDescent="0.35">
      <c r="A27" s="63">
        <v>26</v>
      </c>
      <c r="B27" s="64">
        <v>2789712466510280</v>
      </c>
      <c r="C27" s="64">
        <v>2.2317699616364E+16</v>
      </c>
      <c r="D27" s="65">
        <f t="shared" si="0"/>
        <v>7.9999999585196537</v>
      </c>
      <c r="K27" s="5"/>
    </row>
    <row r="28" spans="1:11" ht="15.75" thickTop="1" x14ac:dyDescent="0.25">
      <c r="D28" s="1"/>
    </row>
    <row r="29" spans="1:11" x14ac:dyDescent="0.25">
      <c r="D29" s="1"/>
    </row>
    <row r="30" spans="1:11" x14ac:dyDescent="0.25">
      <c r="D30" s="1"/>
    </row>
    <row r="31" spans="1:11" x14ac:dyDescent="0.25">
      <c r="D31" s="1"/>
    </row>
    <row r="32" spans="1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topLeftCell="D1" zoomScale="130" zoomScaleNormal="130" workbookViewId="0">
      <pane ySplit="1" topLeftCell="A2" activePane="bottomLeft" state="frozen"/>
      <selection pane="bottomLeft" activeCell="I20" sqref="I20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66" t="s">
        <v>3</v>
      </c>
      <c r="F1" s="67"/>
      <c r="G1" s="68"/>
      <c r="H1" s="69" t="s">
        <v>7</v>
      </c>
      <c r="I1" s="70"/>
      <c r="J1" s="71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12</v>
      </c>
      <c r="G17" s="46">
        <v>13.8</v>
      </c>
      <c r="H17" s="10">
        <v>0</v>
      </c>
      <c r="I17" s="33">
        <v>440</v>
      </c>
      <c r="J17" s="15">
        <v>4820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77.599999999999994</v>
      </c>
      <c r="G18" s="46">
        <v>98.4</v>
      </c>
      <c r="H18" s="10">
        <v>0</v>
      </c>
      <c r="I18" s="33">
        <v>2130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632.6</v>
      </c>
      <c r="G19" s="46"/>
      <c r="H19" s="10">
        <v>0</v>
      </c>
      <c r="I19" s="33">
        <v>14650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Solution Overview</vt:lpstr>
      <vt:lpstr>Resource Usage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2024-11-28T16:06:38Z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