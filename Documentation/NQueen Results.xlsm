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/>
  <mc:AlternateContent xmlns:mc="http://schemas.openxmlformats.org/markup-compatibility/2006">
    <mc:Choice Requires="x15">
      <x15ac:absPath xmlns:x15ac="http://schemas.microsoft.com/office/spreadsheetml/2010/11/ac" url="D:\Repos\Code\NQueen\Documentation\"/>
    </mc:Choice>
  </mc:AlternateContent>
  <xr:revisionPtr revIDLastSave="0" documentId="13_ncr:1_{961E635E-B0A4-4490-9B3D-9BD2DCBCCDCF}" xr6:coauthVersionLast="47" xr6:coauthVersionMax="47" xr10:uidLastSave="{00000000-0000-0000-0000-000000000000}"/>
  <bookViews>
    <workbookView xWindow="-28920" yWindow="-120" windowWidth="29040" windowHeight="17520" activeTab="1" xr2:uid="{00000000-000D-0000-FFFF-FFFF00000000}"/>
  </bookViews>
  <sheets>
    <sheet name="Data Source" sheetId="1" r:id="rId1"/>
    <sheet name="No of Solu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1" l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</calcChain>
</file>

<file path=xl/sharedStrings.xml><?xml version="1.0" encoding="utf-8"?>
<sst xmlns="http://schemas.openxmlformats.org/spreadsheetml/2006/main" count="11" uniqueCount="8">
  <si>
    <t>Factor</t>
  </si>
  <si>
    <t>All Sols.</t>
  </si>
  <si>
    <t>Single Sol.</t>
  </si>
  <si>
    <t>Elapsed Time, sec</t>
  </si>
  <si>
    <t>Unq. Sols.</t>
  </si>
  <si>
    <t>No. of All Sols.</t>
  </si>
  <si>
    <t>No. of Unq. Sols.</t>
  </si>
  <si>
    <t>Max Memory Usage,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</si>
</sst>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#,##0.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1" fillId="0" borderId="0" xfId="0" applyFont="1"/>
    <xf numFmtId="164" fontId="1" fillId="0" borderId="0" xfId="0" applyNumberFormat="1" applyFont="1"/>
    <xf numFmtId="165" fontId="1" fillId="0" borderId="0" xfId="0" applyNumberFormat="1" applyFont="1"/>
    <xf numFmtId="165" fontId="1" fillId="0" borderId="1" xfId="0" applyNumberFormat="1" applyFont="1" applyBorder="1"/>
    <xf numFmtId="3" fontId="1" fillId="0" borderId="0" xfId="0" applyNumberFormat="1" applyFont="1"/>
    <xf numFmtId="0" fontId="2" fillId="0" borderId="0" xfId="0" applyFont="1"/>
    <xf numFmtId="3" fontId="3" fillId="0" borderId="0" xfId="0" applyNumberFormat="1" applyFont="1"/>
    <xf numFmtId="0" fontId="3" fillId="0" borderId="0" xfId="0" applyFont="1"/>
    <xf numFmtId="0" fontId="2" fillId="0" borderId="2" xfId="0" applyFont="1" applyBorder="1"/>
    <xf numFmtId="165" fontId="1" fillId="0" borderId="12" xfId="0" applyNumberFormat="1" applyFont="1" applyBorder="1"/>
    <xf numFmtId="165" fontId="0" fillId="0" borderId="0" xfId="0" applyNumberFormat="1"/>
    <xf numFmtId="3" fontId="1" fillId="0" borderId="17" xfId="0" applyNumberFormat="1" applyFont="1" applyBorder="1"/>
    <xf numFmtId="0" fontId="1" fillId="0" borderId="8" xfId="0" applyFont="1" applyBorder="1"/>
    <xf numFmtId="0" fontId="1" fillId="0" borderId="18" xfId="0" applyFont="1" applyBorder="1"/>
    <xf numFmtId="3" fontId="1" fillId="0" borderId="18" xfId="0" applyNumberFormat="1" applyFont="1" applyBorder="1"/>
    <xf numFmtId="3" fontId="1" fillId="0" borderId="19" xfId="0" applyNumberFormat="1" applyFont="1" applyBorder="1"/>
    <xf numFmtId="0" fontId="1" fillId="0" borderId="7" xfId="0" applyFont="1" applyBorder="1"/>
    <xf numFmtId="0" fontId="1" fillId="0" borderId="22" xfId="0" applyFont="1" applyBorder="1"/>
    <xf numFmtId="165" fontId="1" fillId="0" borderId="3" xfId="0" applyNumberFormat="1" applyFont="1" applyBorder="1"/>
    <xf numFmtId="0" fontId="3" fillId="0" borderId="24" xfId="0" applyFont="1" applyBorder="1"/>
    <xf numFmtId="0" fontId="3" fillId="0" borderId="6" xfId="0" applyFont="1" applyBorder="1"/>
    <xf numFmtId="165" fontId="3" fillId="0" borderId="26" xfId="0" applyNumberFormat="1" applyFont="1" applyBorder="1"/>
    <xf numFmtId="165" fontId="3" fillId="0" borderId="27" xfId="0" applyNumberFormat="1" applyFont="1" applyBorder="1"/>
    <xf numFmtId="165" fontId="1" fillId="0" borderId="11" xfId="0" applyNumberFormat="1" applyFont="1" applyBorder="1"/>
    <xf numFmtId="165" fontId="1" fillId="0" borderId="16" xfId="0" applyNumberFormat="1" applyFont="1" applyBorder="1"/>
    <xf numFmtId="3" fontId="1" fillId="0" borderId="22" xfId="0" applyNumberFormat="1" applyFont="1" applyBorder="1"/>
    <xf numFmtId="164" fontId="1" fillId="0" borderId="19" xfId="0" applyNumberFormat="1" applyFont="1" applyBorder="1"/>
    <xf numFmtId="165" fontId="1" fillId="0" borderId="2" xfId="0" applyNumberFormat="1" applyFont="1" applyBorder="1"/>
    <xf numFmtId="0" fontId="1" fillId="0" borderId="4" xfId="0" applyFont="1" applyBorder="1"/>
    <xf numFmtId="0" fontId="3" fillId="0" borderId="25" xfId="0" applyFont="1" applyBorder="1"/>
    <xf numFmtId="0" fontId="1" fillId="0" borderId="23" xfId="0" applyFont="1" applyBorder="1"/>
    <xf numFmtId="0" fontId="1" fillId="0" borderId="20" xfId="0" applyFont="1" applyBorder="1"/>
    <xf numFmtId="3" fontId="1" fillId="0" borderId="20" xfId="0" applyNumberFormat="1" applyFont="1" applyBorder="1"/>
    <xf numFmtId="0" fontId="2" fillId="0" borderId="17" xfId="0" applyFont="1" applyBorder="1"/>
    <xf numFmtId="3" fontId="1" fillId="0" borderId="21" xfId="0" applyNumberFormat="1" applyFont="1" applyBorder="1"/>
    <xf numFmtId="165" fontId="3" fillId="0" borderId="28" xfId="0" applyNumberFormat="1" applyFont="1" applyBorder="1"/>
    <xf numFmtId="165" fontId="1" fillId="0" borderId="9" xfId="0" applyNumberFormat="1" applyFont="1" applyBorder="1"/>
    <xf numFmtId="165" fontId="1" fillId="0" borderId="10" xfId="0" applyNumberFormat="1" applyFont="1" applyBorder="1"/>
    <xf numFmtId="165" fontId="1" fillId="0" borderId="5" xfId="0" applyNumberFormat="1" applyFont="1" applyBorder="1"/>
    <xf numFmtId="164" fontId="2" fillId="0" borderId="19" xfId="0" applyNumberFormat="1" applyFont="1" applyBorder="1"/>
    <xf numFmtId="164" fontId="3" fillId="0" borderId="6" xfId="0" applyNumberFormat="1" applyFont="1" applyBorder="1"/>
    <xf numFmtId="164" fontId="1" fillId="0" borderId="22" xfId="0" applyNumberFormat="1" applyFont="1" applyBorder="1"/>
    <xf numFmtId="164" fontId="1" fillId="0" borderId="18" xfId="0" applyNumberFormat="1" applyFont="1" applyBorder="1"/>
    <xf numFmtId="165" fontId="3" fillId="0" borderId="29" xfId="0" applyNumberFormat="1" applyFont="1" applyBorder="1"/>
    <xf numFmtId="165" fontId="1" fillId="0" borderId="7" xfId="0" applyNumberFormat="1" applyFont="1" applyBorder="1"/>
    <xf numFmtId="165" fontId="1" fillId="0" borderId="8" xfId="0" applyNumberFormat="1" applyFont="1" applyBorder="1"/>
    <xf numFmtId="165" fontId="1" fillId="0" borderId="4" xfId="0" applyNumberFormat="1" applyFont="1" applyBorder="1"/>
    <xf numFmtId="3" fontId="1" fillId="0" borderId="23" xfId="0" applyNumberFormat="1" applyFont="1" applyBorder="1"/>
    <xf numFmtId="165" fontId="3" fillId="0" borderId="6" xfId="0" applyNumberFormat="1" applyFont="1" applyBorder="1"/>
    <xf numFmtId="3" fontId="0" fillId="0" borderId="18" xfId="0" applyNumberFormat="1" applyBorder="1"/>
    <xf numFmtId="0" fontId="5" fillId="0" borderId="0" xfId="0" applyFont="1"/>
    <xf numFmtId="0" fontId="4" fillId="0" borderId="0" xfId="0" applyFont="1"/>
    <xf numFmtId="165" fontId="2" fillId="0" borderId="5" xfId="0" applyNumberFormat="1" applyFont="1" applyBorder="1" applyAlignment="1">
      <alignment horizontal="center"/>
    </xf>
    <xf numFmtId="165" fontId="2" fillId="0" borderId="2" xfId="0" applyNumberFormat="1" applyFont="1" applyBorder="1" applyAlignment="1">
      <alignment horizontal="center"/>
    </xf>
    <xf numFmtId="165" fontId="2" fillId="0" borderId="4" xfId="0" applyNumberFormat="1" applyFont="1" applyBorder="1" applyAlignment="1">
      <alignment horizontal="center"/>
    </xf>
    <xf numFmtId="165" fontId="2" fillId="0" borderId="13" xfId="0" applyNumberFormat="1" applyFont="1" applyBorder="1" applyAlignment="1">
      <alignment horizontal="center"/>
    </xf>
    <xf numFmtId="165" fontId="2" fillId="0" borderId="14" xfId="0" applyNumberFormat="1" applyFont="1" applyBorder="1" applyAlignment="1">
      <alignment horizontal="center"/>
    </xf>
    <xf numFmtId="165" fontId="2" fillId="0" borderId="15" xfId="0" applyNumberFormat="1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nb-NO" sz="1600">
                <a:solidFill>
                  <a:srgbClr val="00B0F0"/>
                </a:solidFill>
              </a:rPr>
              <a:t>Factor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5.7006583689749625E-2"/>
          <c:y val="0.10965327703602265"/>
          <c:w val="0.86587746674724597"/>
          <c:h val="0.75559705310060288"/>
        </c:manualLayout>
      </c:layout>
      <c:scatterChart>
        <c:scatterStyle val="lineMarker"/>
        <c:varyColors val="0"/>
        <c:ser>
          <c:idx val="0"/>
          <c:order val="0"/>
          <c:tx>
            <c:v>Factor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Source'!$D$6:$D$19</c:f>
              <c:numCache>
                <c:formatCode>0.0000</c:formatCode>
                <c:ptCount val="14"/>
                <c:pt idx="0">
                  <c:v>2</c:v>
                </c:pt>
                <c:pt idx="1">
                  <c:v>5</c:v>
                </c:pt>
                <c:pt idx="2">
                  <c:v>4</c:v>
                </c:pt>
                <c:pt idx="3">
                  <c:v>6.666666666666667</c:v>
                </c:pt>
                <c:pt idx="4">
                  <c:v>7.666666666666667</c:v>
                </c:pt>
                <c:pt idx="5">
                  <c:v>7.6521739130434785</c:v>
                </c:pt>
                <c:pt idx="6">
                  <c:v>7.8695652173913047</c:v>
                </c:pt>
                <c:pt idx="7">
                  <c:v>7.8592375366568916</c:v>
                </c:pt>
                <c:pt idx="8">
                  <c:v>7.9462786793508675</c:v>
                </c:pt>
                <c:pt idx="9">
                  <c:v>7.9835373118163107</c:v>
                </c:pt>
                <c:pt idx="10">
                  <c:v>7.9908200734394121</c:v>
                </c:pt>
                <c:pt idx="11">
                  <c:v>7.9956499317670753</c:v>
                </c:pt>
                <c:pt idx="12">
                  <c:v>7.998306401617798</c:v>
                </c:pt>
                <c:pt idx="13">
                  <c:v>7.9992980428435976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B8A-4052-9597-9033C201A7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232591"/>
        <c:axId val="722239791"/>
      </c:scatterChart>
      <c:valAx>
        <c:axId val="722232591"/>
        <c:scaling>
          <c:orientation val="minMax"/>
          <c:max val="17"/>
          <c:min val="4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476712399672098"/>
              <c:y val="0.92228809061205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#,##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9791"/>
        <c:crosses val="autoZero"/>
        <c:crossBetween val="midCat"/>
        <c:majorUnit val="1"/>
        <c:minorUnit val="1"/>
      </c:valAx>
      <c:valAx>
        <c:axId val="722239791"/>
        <c:scaling>
          <c:orientation val="minMax"/>
          <c:max val="8"/>
          <c:min val="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>
                  <a:defRPr lang="en-US" sz="1600" b="0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rPr>
                  <a:t>F</a:t>
                </a:r>
              </a:p>
            </c:rich>
          </c:tx>
          <c:layout>
            <c:manualLayout>
              <c:xMode val="edge"/>
              <c:yMode val="edge"/>
              <c:x val="0.92909174540183792"/>
              <c:y val="0.408910055074284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>
                <a:defRPr lang="en-US" sz="1600" b="0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722232591"/>
        <c:crosses val="autoZero"/>
        <c:crossBetween val="midCat"/>
        <c:minorUnit val="0.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cap="none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600" b="1" i="0" u="none" strike="noStrike" kern="1200" spc="100" baseline="0">
                <a:solidFill>
                  <a:srgbClr val="00B0F0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rPr>
              <a:t>No. of Solutions as a Function of Board Size</a:t>
            </a:r>
          </a:p>
        </c:rich>
      </c:tx>
      <c:overlay val="0"/>
      <c:spPr>
        <a:solidFill>
          <a:srgbClr val="7030A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600" b="1" i="0" u="none" strike="noStrike" kern="1200" cap="none" spc="100" baseline="0">
              <a:solidFill>
                <a:srgbClr val="00B0F0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2149307137100522"/>
          <c:y val="8.2126831863194624E-2"/>
          <c:w val="0.83678820156848233"/>
          <c:h val="0.78758876271099454"/>
        </c:manualLayout>
      </c:layout>
      <c:scatterChart>
        <c:scatterStyle val="lineMarker"/>
        <c:varyColors val="0"/>
        <c:ser>
          <c:idx val="0"/>
          <c:order val="0"/>
          <c:tx>
            <c:v>All Solutions</c:v>
          </c:tx>
          <c:spPr>
            <a:ln w="22225" cap="rnd">
              <a:solidFill>
                <a:schemeClr val="accent6"/>
              </a:solidFill>
            </a:ln>
            <a:effectLst>
              <a:glow rad="139700">
                <a:schemeClr val="accent6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6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6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Source'!$A$6:$A$28</c:f>
              <c:numCache>
                <c:formatCode>General</c:formatCode>
                <c:ptCount val="23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  <c:pt idx="14">
                  <c:v>18</c:v>
                </c:pt>
                <c:pt idx="15">
                  <c:v>19</c:v>
                </c:pt>
                <c:pt idx="16">
                  <c:v>20</c:v>
                </c:pt>
                <c:pt idx="17">
                  <c:v>21</c:v>
                </c:pt>
                <c:pt idx="18">
                  <c:v>22</c:v>
                </c:pt>
                <c:pt idx="19">
                  <c:v>23</c:v>
                </c:pt>
                <c:pt idx="20">
                  <c:v>24</c:v>
                </c:pt>
                <c:pt idx="21">
                  <c:v>25</c:v>
                </c:pt>
                <c:pt idx="22">
                  <c:v>26</c:v>
                </c:pt>
              </c:numCache>
            </c:numRef>
          </c:xVal>
          <c:yVal>
            <c:numRef>
              <c:f>'Data Source'!$C$6:$C$28</c:f>
              <c:numCache>
                <c:formatCode>General</c:formatCode>
                <c:ptCount val="23"/>
                <c:pt idx="0">
                  <c:v>2</c:v>
                </c:pt>
                <c:pt idx="1">
                  <c:v>10</c:v>
                </c:pt>
                <c:pt idx="2">
                  <c:v>4</c:v>
                </c:pt>
                <c:pt idx="3">
                  <c:v>40</c:v>
                </c:pt>
                <c:pt idx="4">
                  <c:v>92</c:v>
                </c:pt>
                <c:pt idx="5">
                  <c:v>352</c:v>
                </c:pt>
                <c:pt idx="6">
                  <c:v>724</c:v>
                </c:pt>
                <c:pt idx="7" formatCode="#,##0">
                  <c:v>2680</c:v>
                </c:pt>
                <c:pt idx="8" formatCode="#,##0">
                  <c:v>14200</c:v>
                </c:pt>
                <c:pt idx="9" formatCode="#,##0">
                  <c:v>73712</c:v>
                </c:pt>
                <c:pt idx="10" formatCode="#,##0">
                  <c:v>365596</c:v>
                </c:pt>
                <c:pt idx="11" formatCode="#,##0">
                  <c:v>2279184</c:v>
                </c:pt>
                <c:pt idx="12" formatCode="#,##0">
                  <c:v>14772512</c:v>
                </c:pt>
                <c:pt idx="13" formatCode="#,##0">
                  <c:v>95815104</c:v>
                </c:pt>
                <c:pt idx="14" formatCode="#,##0">
                  <c:v>666090624</c:v>
                </c:pt>
                <c:pt idx="15" formatCode="#,##0">
                  <c:v>4968057848</c:v>
                </c:pt>
                <c:pt idx="16" formatCode="#,##0">
                  <c:v>39029188884</c:v>
                </c:pt>
                <c:pt idx="17" formatCode="#,##0">
                  <c:v>314666222712</c:v>
                </c:pt>
                <c:pt idx="18" formatCode="#,##0">
                  <c:v>2691008701644</c:v>
                </c:pt>
                <c:pt idx="19" formatCode="#,##0">
                  <c:v>24233937684440</c:v>
                </c:pt>
                <c:pt idx="20" formatCode="#,##0">
                  <c:v>227514171973736</c:v>
                </c:pt>
                <c:pt idx="21" formatCode="#,##0">
                  <c:v>2207893435808350</c:v>
                </c:pt>
                <c:pt idx="22" formatCode="#,##0">
                  <c:v>2.2317699616364E+16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DF-466B-B545-7410B617930B}"/>
            </c:ext>
          </c:extLst>
        </c:ser>
        <c:ser>
          <c:idx val="1"/>
          <c:order val="1"/>
          <c:tx>
            <c:v>Unique Solutions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'Data Source'!$A$6:$A$19</c:f>
              <c:numCache>
                <c:formatCode>General</c:formatCode>
                <c:ptCount val="14"/>
                <c:pt idx="0">
                  <c:v>4</c:v>
                </c:pt>
                <c:pt idx="1">
                  <c:v>5</c:v>
                </c:pt>
                <c:pt idx="2">
                  <c:v>6</c:v>
                </c:pt>
                <c:pt idx="3">
                  <c:v>7</c:v>
                </c:pt>
                <c:pt idx="4">
                  <c:v>8</c:v>
                </c:pt>
                <c:pt idx="5">
                  <c:v>9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13</c:v>
                </c:pt>
                <c:pt idx="10">
                  <c:v>14</c:v>
                </c:pt>
                <c:pt idx="11">
                  <c:v>15</c:v>
                </c:pt>
                <c:pt idx="12">
                  <c:v>16</c:v>
                </c:pt>
                <c:pt idx="13">
                  <c:v>17</c:v>
                </c:pt>
              </c:numCache>
            </c:numRef>
          </c:xVal>
          <c:yVal>
            <c:numRef>
              <c:f>'Data Source'!$B$6:$B$19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6</c:v>
                </c:pt>
                <c:pt idx="4">
                  <c:v>12</c:v>
                </c:pt>
                <c:pt idx="5">
                  <c:v>46</c:v>
                </c:pt>
                <c:pt idx="6">
                  <c:v>92</c:v>
                </c:pt>
                <c:pt idx="7">
                  <c:v>341</c:v>
                </c:pt>
                <c:pt idx="8" formatCode="#,##0">
                  <c:v>1787</c:v>
                </c:pt>
                <c:pt idx="9" formatCode="#,##0">
                  <c:v>9233</c:v>
                </c:pt>
                <c:pt idx="10" formatCode="#,##0">
                  <c:v>45752</c:v>
                </c:pt>
                <c:pt idx="11" formatCode="#,##0">
                  <c:v>285053</c:v>
                </c:pt>
                <c:pt idx="12" formatCode="#,##0">
                  <c:v>1846955</c:v>
                </c:pt>
                <c:pt idx="13" formatCode="#,##0">
                  <c:v>11977939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5F-453B-AEBF-2BE45EF78C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6887184"/>
        <c:axId val="436881904"/>
      </c:scatterChart>
      <c:valAx>
        <c:axId val="43688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65000"/>
                  <a:lumOff val="35000"/>
                  <a:alpha val="2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2000" b="1" i="1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000" i="1"/>
                  <a:t>N</a:t>
                </a:r>
              </a:p>
            </c:rich>
          </c:tx>
          <c:layout>
            <c:manualLayout>
              <c:xMode val="edge"/>
              <c:yMode val="edge"/>
              <c:x val="0.54838400907649099"/>
              <c:y val="0.922986541272561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000" b="1" i="1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b-NO"/>
            </a:p>
          </c:txPr>
        </c:title>
        <c:numFmt formatCode="General" sourceLinked="0"/>
        <c:majorTickMark val="out"/>
        <c:minorTickMark val="in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1904"/>
        <c:crosses val="autoZero"/>
        <c:crossBetween val="midCat"/>
        <c:majorUnit val="2"/>
        <c:minorUnit val="1"/>
      </c:valAx>
      <c:valAx>
        <c:axId val="436881904"/>
        <c:scaling>
          <c:logBase val="10"/>
          <c:orientation val="minMax"/>
          <c:max val="1E+18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noFill/>
              <a:round/>
            </a:ln>
            <a:effectLst/>
          </c:spPr>
        </c:minorGridlines>
        <c:numFmt formatCode="0.E+0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b-NO"/>
          </a:p>
        </c:txPr>
        <c:crossAx val="43688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3071297594649983"/>
          <c:y val="0.14142788980079576"/>
          <c:w val="0.58189431800476998"/>
          <c:h val="6.50231324719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nb-NO"/>
        </a:p>
      </c:txPr>
    </c:legend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893152</xdr:colOff>
      <xdr:row>1</xdr:row>
      <xdr:rowOff>9524</xdr:rowOff>
    </xdr:from>
    <xdr:to>
      <xdr:col>16</xdr:col>
      <xdr:colOff>28575</xdr:colOff>
      <xdr:row>27</xdr:row>
      <xdr:rowOff>190499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162984E-A863-4628-9C2A-ADE1F43A86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</xdr:row>
      <xdr:rowOff>0</xdr:rowOff>
    </xdr:from>
    <xdr:to>
      <xdr:col>8</xdr:col>
      <xdr:colOff>9525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A818277-A258-1753-847F-7671F26784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Yellow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40"/>
  <sheetViews>
    <sheetView zoomScale="130" zoomScaleNormal="130" workbookViewId="0">
      <pane ySplit="1" topLeftCell="A2" activePane="bottomLeft" state="frozen"/>
      <selection pane="bottomLeft" activeCell="N22" sqref="N22"/>
    </sheetView>
  </sheetViews>
  <sheetFormatPr defaultColWidth="8.7109375" defaultRowHeight="15" x14ac:dyDescent="0.25"/>
  <cols>
    <col min="1" max="1" width="11.42578125" style="1" customWidth="1"/>
    <col min="2" max="2" width="22.42578125" style="1" bestFit="1" customWidth="1"/>
    <col min="3" max="3" width="22.140625" style="1" bestFit="1" customWidth="1"/>
    <col min="4" max="4" width="7" style="2" bestFit="1" customWidth="1"/>
    <col min="5" max="5" width="10.140625" style="3" bestFit="1" customWidth="1"/>
    <col min="6" max="6" width="12" style="3" bestFit="1" customWidth="1"/>
    <col min="7" max="7" width="8" style="3" bestFit="1" customWidth="1"/>
    <col min="8" max="8" width="11.7109375" style="5" customWidth="1"/>
    <col min="9" max="9" width="13" style="1" customWidth="1"/>
    <col min="10" max="16384" width="8.7109375" style="1"/>
  </cols>
  <sheetData>
    <row r="1" spans="1:11" s="6" customFormat="1" ht="15.75" thickBot="1" x14ac:dyDescent="0.3">
      <c r="A1" s="9"/>
      <c r="B1" s="9" t="s">
        <v>6</v>
      </c>
      <c r="C1" s="34" t="s">
        <v>5</v>
      </c>
      <c r="D1" s="40" t="s">
        <v>0</v>
      </c>
      <c r="E1" s="53" t="s">
        <v>3</v>
      </c>
      <c r="F1" s="54"/>
      <c r="G1" s="55"/>
      <c r="H1" s="56" t="s">
        <v>7</v>
      </c>
      <c r="I1" s="57"/>
      <c r="J1" s="58"/>
    </row>
    <row r="2" spans="1:11" s="8" customFormat="1" ht="16.5" thickTop="1" thickBot="1" x14ac:dyDescent="0.3">
      <c r="A2" s="20"/>
      <c r="B2" s="21"/>
      <c r="C2" s="30"/>
      <c r="D2" s="41"/>
      <c r="E2" s="36" t="s">
        <v>2</v>
      </c>
      <c r="F2" s="23" t="s">
        <v>4</v>
      </c>
      <c r="G2" s="44" t="s">
        <v>1</v>
      </c>
      <c r="H2" s="22" t="s">
        <v>2</v>
      </c>
      <c r="I2" s="49" t="s">
        <v>4</v>
      </c>
      <c r="J2" s="49" t="s">
        <v>1</v>
      </c>
      <c r="K2" s="7"/>
    </row>
    <row r="3" spans="1:11" ht="15.75" thickTop="1" x14ac:dyDescent="0.25">
      <c r="A3" s="17">
        <v>1</v>
      </c>
      <c r="B3" s="18">
        <v>1</v>
      </c>
      <c r="C3" s="31">
        <v>1</v>
      </c>
      <c r="D3" s="42">
        <f>IF(B3=0,0,C3/B3)</f>
        <v>1</v>
      </c>
      <c r="E3" s="37">
        <v>0</v>
      </c>
      <c r="F3" s="19">
        <v>0</v>
      </c>
      <c r="G3" s="45"/>
      <c r="H3" s="24">
        <v>0</v>
      </c>
      <c r="I3" s="48"/>
      <c r="J3" s="26"/>
      <c r="K3" s="5"/>
    </row>
    <row r="4" spans="1:11" x14ac:dyDescent="0.25">
      <c r="A4" s="13">
        <v>2</v>
      </c>
      <c r="B4" s="14">
        <v>0</v>
      </c>
      <c r="C4" s="32">
        <v>0</v>
      </c>
      <c r="D4" s="43">
        <f>IF(B4=0,0,C4/B4)</f>
        <v>0</v>
      </c>
      <c r="E4" s="38">
        <v>0</v>
      </c>
      <c r="F4" s="4">
        <v>0</v>
      </c>
      <c r="G4" s="46"/>
      <c r="H4" s="10">
        <v>0</v>
      </c>
      <c r="I4" s="33"/>
      <c r="J4" s="15"/>
      <c r="K4" s="5"/>
    </row>
    <row r="5" spans="1:11" x14ac:dyDescent="0.25">
      <c r="A5" s="13">
        <v>3</v>
      </c>
      <c r="B5" s="14">
        <v>0</v>
      </c>
      <c r="C5" s="32">
        <v>0</v>
      </c>
      <c r="D5" s="43">
        <f t="shared" ref="D5:D28" si="0">IF(B5=0,0,C5/B5)</f>
        <v>0</v>
      </c>
      <c r="E5" s="38">
        <v>0</v>
      </c>
      <c r="F5" s="4">
        <v>0</v>
      </c>
      <c r="G5" s="46"/>
      <c r="H5" s="10">
        <v>0</v>
      </c>
      <c r="I5" s="33"/>
      <c r="J5" s="15"/>
      <c r="K5" s="5"/>
    </row>
    <row r="6" spans="1:11" x14ac:dyDescent="0.25">
      <c r="A6" s="13">
        <v>4</v>
      </c>
      <c r="B6" s="14">
        <v>1</v>
      </c>
      <c r="C6" s="32">
        <v>2</v>
      </c>
      <c r="D6" s="43">
        <f t="shared" si="0"/>
        <v>2</v>
      </c>
      <c r="E6" s="38">
        <v>0</v>
      </c>
      <c r="F6" s="4">
        <v>0</v>
      </c>
      <c r="G6" s="46"/>
      <c r="H6" s="10">
        <v>0</v>
      </c>
      <c r="I6" s="33"/>
      <c r="J6" s="15"/>
      <c r="K6" s="5"/>
    </row>
    <row r="7" spans="1:11" x14ac:dyDescent="0.25">
      <c r="A7" s="13">
        <v>5</v>
      </c>
      <c r="B7" s="14">
        <v>2</v>
      </c>
      <c r="C7" s="32">
        <v>10</v>
      </c>
      <c r="D7" s="43">
        <f t="shared" si="0"/>
        <v>5</v>
      </c>
      <c r="E7" s="38">
        <v>0</v>
      </c>
      <c r="F7" s="4">
        <v>0</v>
      </c>
      <c r="G7" s="46"/>
      <c r="H7" s="10">
        <v>0</v>
      </c>
      <c r="I7" s="33"/>
      <c r="J7" s="15"/>
      <c r="K7" s="5"/>
    </row>
    <row r="8" spans="1:11" x14ac:dyDescent="0.25">
      <c r="A8" s="13">
        <v>6</v>
      </c>
      <c r="B8" s="14">
        <v>1</v>
      </c>
      <c r="C8" s="32">
        <v>4</v>
      </c>
      <c r="D8" s="43">
        <f t="shared" si="0"/>
        <v>4</v>
      </c>
      <c r="E8" s="38">
        <v>0</v>
      </c>
      <c r="F8" s="4">
        <v>0</v>
      </c>
      <c r="G8" s="46"/>
      <c r="H8" s="10">
        <v>0</v>
      </c>
      <c r="I8" s="33"/>
      <c r="J8" s="15"/>
      <c r="K8" s="5"/>
    </row>
    <row r="9" spans="1:11" x14ac:dyDescent="0.25">
      <c r="A9" s="13">
        <v>7</v>
      </c>
      <c r="B9" s="14">
        <v>6</v>
      </c>
      <c r="C9" s="32">
        <v>40</v>
      </c>
      <c r="D9" s="43">
        <f t="shared" si="0"/>
        <v>6.666666666666667</v>
      </c>
      <c r="E9" s="38">
        <v>0</v>
      </c>
      <c r="F9" s="4">
        <v>0</v>
      </c>
      <c r="G9" s="46"/>
      <c r="H9" s="10">
        <v>0</v>
      </c>
      <c r="I9" s="33"/>
      <c r="J9" s="15"/>
      <c r="K9" s="5"/>
    </row>
    <row r="10" spans="1:11" x14ac:dyDescent="0.25">
      <c r="A10" s="13">
        <v>8</v>
      </c>
      <c r="B10" s="14">
        <v>12</v>
      </c>
      <c r="C10" s="32">
        <v>92</v>
      </c>
      <c r="D10" s="43">
        <f t="shared" si="0"/>
        <v>7.666666666666667</v>
      </c>
      <c r="E10" s="38">
        <v>0</v>
      </c>
      <c r="F10" s="4">
        <v>0</v>
      </c>
      <c r="G10" s="46"/>
      <c r="H10" s="10">
        <v>0</v>
      </c>
      <c r="I10" s="33"/>
      <c r="J10" s="15"/>
      <c r="K10" s="5"/>
    </row>
    <row r="11" spans="1:11" x14ac:dyDescent="0.25">
      <c r="A11" s="13">
        <v>9</v>
      </c>
      <c r="B11" s="14">
        <v>46</v>
      </c>
      <c r="C11" s="32">
        <v>352</v>
      </c>
      <c r="D11" s="43">
        <f t="shared" si="0"/>
        <v>7.6521739130434785</v>
      </c>
      <c r="E11" s="38">
        <v>0</v>
      </c>
      <c r="F11" s="4">
        <v>0</v>
      </c>
      <c r="G11" s="46"/>
      <c r="H11" s="10">
        <v>0</v>
      </c>
      <c r="I11" s="33"/>
      <c r="J11" s="15"/>
      <c r="K11" s="5"/>
    </row>
    <row r="12" spans="1:11" x14ac:dyDescent="0.25">
      <c r="A12" s="13">
        <v>10</v>
      </c>
      <c r="B12" s="14">
        <v>92</v>
      </c>
      <c r="C12" s="32">
        <v>724</v>
      </c>
      <c r="D12" s="43">
        <f t="shared" si="0"/>
        <v>7.8695652173913047</v>
      </c>
      <c r="E12" s="38">
        <v>0</v>
      </c>
      <c r="F12" s="4">
        <v>0</v>
      </c>
      <c r="G12" s="46"/>
      <c r="H12" s="10">
        <v>0</v>
      </c>
      <c r="I12" s="33"/>
      <c r="J12" s="15"/>
      <c r="K12" s="5"/>
    </row>
    <row r="13" spans="1:11" x14ac:dyDescent="0.25">
      <c r="A13" s="13">
        <v>11</v>
      </c>
      <c r="B13" s="14">
        <v>341</v>
      </c>
      <c r="C13" s="33">
        <v>2680</v>
      </c>
      <c r="D13" s="43">
        <f t="shared" si="0"/>
        <v>7.8592375366568916</v>
      </c>
      <c r="E13" s="38">
        <v>0</v>
      </c>
      <c r="F13" s="4">
        <v>0</v>
      </c>
      <c r="G13" s="46"/>
      <c r="H13" s="10">
        <v>0</v>
      </c>
      <c r="I13" s="33"/>
      <c r="J13" s="15"/>
      <c r="K13" s="5"/>
    </row>
    <row r="14" spans="1:11" x14ac:dyDescent="0.25">
      <c r="A14" s="13">
        <v>12</v>
      </c>
      <c r="B14" s="15">
        <v>1787</v>
      </c>
      <c r="C14" s="33">
        <v>14200</v>
      </c>
      <c r="D14" s="43">
        <f t="shared" si="0"/>
        <v>7.9462786793508675</v>
      </c>
      <c r="E14" s="38">
        <v>0</v>
      </c>
      <c r="F14" s="4">
        <v>0.1</v>
      </c>
      <c r="G14" s="46">
        <v>0.2</v>
      </c>
      <c r="H14" s="10">
        <v>0</v>
      </c>
      <c r="I14" s="33"/>
      <c r="J14" s="15"/>
      <c r="K14" s="5"/>
    </row>
    <row r="15" spans="1:11" x14ac:dyDescent="0.25">
      <c r="A15" s="13">
        <v>13</v>
      </c>
      <c r="B15" s="15">
        <v>9233</v>
      </c>
      <c r="C15" s="33">
        <v>73712</v>
      </c>
      <c r="D15" s="43">
        <f t="shared" si="0"/>
        <v>7.9835373118163107</v>
      </c>
      <c r="E15" s="38">
        <v>0</v>
      </c>
      <c r="F15" s="4">
        <v>0.5</v>
      </c>
      <c r="G15" s="46">
        <v>1</v>
      </c>
      <c r="H15" s="10">
        <v>0</v>
      </c>
      <c r="I15" s="33"/>
      <c r="J15" s="15"/>
      <c r="K15" s="5"/>
    </row>
    <row r="16" spans="1:11" x14ac:dyDescent="0.25">
      <c r="A16" s="13">
        <v>14</v>
      </c>
      <c r="B16" s="15">
        <v>45752</v>
      </c>
      <c r="C16" s="33">
        <v>365596</v>
      </c>
      <c r="D16" s="43">
        <f t="shared" si="0"/>
        <v>7.9908200734394121</v>
      </c>
      <c r="E16" s="38">
        <v>0</v>
      </c>
      <c r="F16" s="4">
        <v>3.1</v>
      </c>
      <c r="G16" s="46">
        <v>5.3</v>
      </c>
      <c r="H16" s="10">
        <v>0</v>
      </c>
      <c r="I16" s="33">
        <v>170.3</v>
      </c>
      <c r="J16" s="15">
        <v>527.4</v>
      </c>
    </row>
    <row r="17" spans="1:11" x14ac:dyDescent="0.25">
      <c r="A17" s="13">
        <v>15</v>
      </c>
      <c r="B17" s="15">
        <v>285053</v>
      </c>
      <c r="C17" s="33">
        <v>2279184</v>
      </c>
      <c r="D17" s="43">
        <f t="shared" si="0"/>
        <v>7.9956499317670753</v>
      </c>
      <c r="E17" s="38">
        <v>0</v>
      </c>
      <c r="F17" s="4">
        <v>12</v>
      </c>
      <c r="G17" s="46">
        <v>13.8</v>
      </c>
      <c r="H17" s="10">
        <v>0</v>
      </c>
      <c r="I17" s="33">
        <v>440</v>
      </c>
      <c r="J17" s="15">
        <v>4820</v>
      </c>
    </row>
    <row r="18" spans="1:11" x14ac:dyDescent="0.25">
      <c r="A18" s="13">
        <v>16</v>
      </c>
      <c r="B18" s="15">
        <v>1846955</v>
      </c>
      <c r="C18" s="33">
        <v>14772512</v>
      </c>
      <c r="D18" s="43">
        <f t="shared" si="0"/>
        <v>7.998306401617798</v>
      </c>
      <c r="E18" s="38">
        <v>0</v>
      </c>
      <c r="F18" s="4">
        <v>77.599999999999994</v>
      </c>
      <c r="G18" s="46">
        <v>98.4</v>
      </c>
      <c r="H18" s="10">
        <v>0</v>
      </c>
      <c r="I18" s="33">
        <v>2130</v>
      </c>
      <c r="J18" s="50">
        <v>3160</v>
      </c>
      <c r="K18" s="11"/>
    </row>
    <row r="19" spans="1:11" x14ac:dyDescent="0.25">
      <c r="A19" s="13">
        <v>17</v>
      </c>
      <c r="B19" s="15">
        <v>11977939</v>
      </c>
      <c r="C19" s="33">
        <v>95815104</v>
      </c>
      <c r="D19" s="43">
        <f t="shared" si="0"/>
        <v>7.9992980428435976</v>
      </c>
      <c r="E19" s="38">
        <v>0</v>
      </c>
      <c r="F19" s="4">
        <v>632.6</v>
      </c>
      <c r="G19" s="46"/>
      <c r="H19" s="10">
        <v>0</v>
      </c>
      <c r="I19" s="33">
        <v>14650</v>
      </c>
      <c r="J19" s="15"/>
    </row>
    <row r="20" spans="1:11" x14ac:dyDescent="0.25">
      <c r="A20" s="13">
        <v>18</v>
      </c>
      <c r="B20" s="14"/>
      <c r="C20" s="33">
        <v>666090624</v>
      </c>
      <c r="D20" s="43">
        <f t="shared" si="0"/>
        <v>0</v>
      </c>
      <c r="E20" s="38">
        <v>0</v>
      </c>
      <c r="F20" s="4"/>
      <c r="G20" s="46"/>
      <c r="H20" s="10">
        <v>0</v>
      </c>
      <c r="I20" s="33"/>
      <c r="J20" s="15"/>
      <c r="K20" s="5"/>
    </row>
    <row r="21" spans="1:11" x14ac:dyDescent="0.25">
      <c r="A21" s="13">
        <v>19</v>
      </c>
      <c r="B21" s="14"/>
      <c r="C21" s="33">
        <v>4968057848</v>
      </c>
      <c r="D21" s="43">
        <f t="shared" si="0"/>
        <v>0</v>
      </c>
      <c r="E21" s="38">
        <v>0</v>
      </c>
      <c r="F21" s="4"/>
      <c r="G21" s="46"/>
      <c r="H21" s="10">
        <v>0</v>
      </c>
      <c r="I21" s="33"/>
      <c r="J21" s="15"/>
      <c r="K21" s="5"/>
    </row>
    <row r="22" spans="1:11" x14ac:dyDescent="0.25">
      <c r="A22" s="13">
        <v>20</v>
      </c>
      <c r="B22" s="14"/>
      <c r="C22" s="33">
        <v>39029188884</v>
      </c>
      <c r="D22" s="43">
        <f t="shared" si="0"/>
        <v>0</v>
      </c>
      <c r="E22" s="38">
        <v>0</v>
      </c>
      <c r="F22" s="4"/>
      <c r="G22" s="46"/>
      <c r="H22" s="10">
        <v>0</v>
      </c>
      <c r="I22" s="33"/>
      <c r="J22" s="15"/>
      <c r="K22" s="5"/>
    </row>
    <row r="23" spans="1:11" x14ac:dyDescent="0.25">
      <c r="A23" s="13">
        <v>21</v>
      </c>
      <c r="B23" s="14"/>
      <c r="C23" s="33">
        <v>314666222712</v>
      </c>
      <c r="D23" s="43">
        <f t="shared" si="0"/>
        <v>0</v>
      </c>
      <c r="E23" s="38">
        <v>0</v>
      </c>
      <c r="F23" s="4"/>
      <c r="G23" s="46"/>
      <c r="H23" s="10">
        <v>0</v>
      </c>
      <c r="I23" s="33"/>
      <c r="J23" s="15"/>
      <c r="K23" s="5"/>
    </row>
    <row r="24" spans="1:11" x14ac:dyDescent="0.25">
      <c r="A24" s="13">
        <v>22</v>
      </c>
      <c r="B24" s="14"/>
      <c r="C24" s="33">
        <v>2691008701644</v>
      </c>
      <c r="D24" s="43">
        <f t="shared" si="0"/>
        <v>0</v>
      </c>
      <c r="E24" s="38">
        <v>0</v>
      </c>
      <c r="F24" s="4"/>
      <c r="G24" s="46"/>
      <c r="H24" s="10">
        <v>0</v>
      </c>
      <c r="I24" s="33"/>
      <c r="J24" s="15"/>
      <c r="K24" s="5"/>
    </row>
    <row r="25" spans="1:11" x14ac:dyDescent="0.25">
      <c r="A25" s="13">
        <v>23</v>
      </c>
      <c r="B25" s="14"/>
      <c r="C25" s="33">
        <v>24233937684440</v>
      </c>
      <c r="D25" s="43">
        <f t="shared" si="0"/>
        <v>0</v>
      </c>
      <c r="E25" s="38">
        <v>0</v>
      </c>
      <c r="F25" s="4"/>
      <c r="G25" s="46"/>
      <c r="H25" s="10">
        <v>0</v>
      </c>
      <c r="I25" s="33"/>
      <c r="J25" s="15"/>
      <c r="K25" s="5"/>
    </row>
    <row r="26" spans="1:11" x14ac:dyDescent="0.25">
      <c r="A26" s="13">
        <v>24</v>
      </c>
      <c r="B26" s="15">
        <v>28439272956934</v>
      </c>
      <c r="C26" s="33">
        <v>227514171973736</v>
      </c>
      <c r="D26" s="43">
        <f t="shared" si="0"/>
        <v>7.9999995892392883</v>
      </c>
      <c r="E26" s="38">
        <v>0</v>
      </c>
      <c r="F26" s="4"/>
      <c r="G26" s="46"/>
      <c r="H26" s="10">
        <v>0</v>
      </c>
      <c r="I26" s="33"/>
      <c r="J26" s="15"/>
      <c r="K26" s="5"/>
    </row>
    <row r="27" spans="1:11" x14ac:dyDescent="0.25">
      <c r="A27" s="13">
        <v>25</v>
      </c>
      <c r="B27" s="15">
        <v>275986683743434</v>
      </c>
      <c r="C27" s="33">
        <v>2207893435808350</v>
      </c>
      <c r="D27" s="43">
        <f t="shared" si="0"/>
        <v>7.999999876301561</v>
      </c>
      <c r="E27" s="38">
        <v>0</v>
      </c>
      <c r="F27" s="4"/>
      <c r="G27" s="46"/>
      <c r="H27" s="10">
        <v>0</v>
      </c>
      <c r="I27" s="33"/>
      <c r="J27" s="15"/>
      <c r="K27" s="5"/>
    </row>
    <row r="28" spans="1:11" x14ac:dyDescent="0.25">
      <c r="A28" s="13">
        <v>26</v>
      </c>
      <c r="B28" s="15">
        <v>2789712466510280</v>
      </c>
      <c r="C28" s="33">
        <v>2.2317699616364E+16</v>
      </c>
      <c r="D28" s="43">
        <f t="shared" si="0"/>
        <v>7.9999999585196537</v>
      </c>
      <c r="E28" s="38">
        <v>0.2</v>
      </c>
      <c r="F28" s="4"/>
      <c r="G28" s="46"/>
      <c r="H28" s="10">
        <v>0.2</v>
      </c>
      <c r="I28" s="33"/>
      <c r="J28" s="15"/>
      <c r="K28" s="5"/>
    </row>
    <row r="29" spans="1:11" x14ac:dyDescent="0.25">
      <c r="A29" s="17">
        <v>27</v>
      </c>
      <c r="B29" s="14"/>
      <c r="C29" s="33"/>
      <c r="D29" s="43"/>
      <c r="E29" s="38"/>
      <c r="F29" s="4"/>
      <c r="G29" s="46"/>
      <c r="H29" s="10"/>
      <c r="I29" s="33"/>
      <c r="J29" s="15"/>
    </row>
    <row r="30" spans="1:11" x14ac:dyDescent="0.25">
      <c r="A30" s="13">
        <v>28</v>
      </c>
      <c r="B30" s="15"/>
      <c r="C30" s="33"/>
      <c r="D30" s="43"/>
      <c r="E30" s="38"/>
      <c r="F30" s="4"/>
      <c r="G30" s="46"/>
      <c r="H30" s="10"/>
      <c r="I30" s="33"/>
      <c r="J30" s="15"/>
    </row>
    <row r="31" spans="1:11" x14ac:dyDescent="0.25">
      <c r="A31" s="13">
        <v>29</v>
      </c>
      <c r="B31" s="15"/>
      <c r="C31" s="33"/>
      <c r="D31" s="43"/>
      <c r="E31" s="38"/>
      <c r="F31" s="4"/>
      <c r="G31" s="46"/>
      <c r="H31" s="10"/>
      <c r="I31" s="33"/>
      <c r="J31" s="15"/>
    </row>
    <row r="32" spans="1:11" x14ac:dyDescent="0.25">
      <c r="A32" s="13">
        <v>30</v>
      </c>
      <c r="B32" s="14"/>
      <c r="C32" s="33"/>
      <c r="D32" s="43"/>
      <c r="E32" s="38"/>
      <c r="F32" s="4"/>
      <c r="G32" s="46"/>
      <c r="H32" s="10"/>
      <c r="I32" s="33"/>
      <c r="J32" s="15"/>
    </row>
    <row r="33" spans="1:10" x14ac:dyDescent="0.25">
      <c r="A33" s="13">
        <v>31</v>
      </c>
      <c r="B33" s="15"/>
      <c r="C33" s="33"/>
      <c r="D33" s="43"/>
      <c r="E33" s="38"/>
      <c r="F33" s="4"/>
      <c r="G33" s="46"/>
      <c r="H33" s="10"/>
      <c r="I33" s="33"/>
      <c r="J33" s="15"/>
    </row>
    <row r="34" spans="1:10" x14ac:dyDescent="0.25">
      <c r="A34" s="13">
        <v>32</v>
      </c>
      <c r="B34" s="15"/>
      <c r="C34" s="33"/>
      <c r="D34" s="43"/>
      <c r="E34" s="38"/>
      <c r="F34" s="4"/>
      <c r="G34" s="46"/>
      <c r="H34" s="10"/>
      <c r="I34" s="33"/>
      <c r="J34" s="15"/>
    </row>
    <row r="35" spans="1:10" x14ac:dyDescent="0.25">
      <c r="A35" s="13">
        <v>33</v>
      </c>
      <c r="B35" s="14"/>
      <c r="C35" s="33"/>
      <c r="D35" s="43"/>
      <c r="E35" s="38"/>
      <c r="F35" s="4"/>
      <c r="G35" s="46"/>
      <c r="H35" s="10"/>
      <c r="I35" s="33"/>
      <c r="J35" s="15"/>
    </row>
    <row r="36" spans="1:10" x14ac:dyDescent="0.25">
      <c r="A36" s="13">
        <v>34</v>
      </c>
      <c r="B36" s="15"/>
      <c r="C36" s="33"/>
      <c r="D36" s="43"/>
      <c r="E36" s="38"/>
      <c r="F36" s="4"/>
      <c r="G36" s="46"/>
      <c r="H36" s="10"/>
      <c r="I36" s="33"/>
      <c r="J36" s="15"/>
    </row>
    <row r="37" spans="1:10" x14ac:dyDescent="0.25">
      <c r="A37" s="13">
        <v>35</v>
      </c>
      <c r="B37" s="15"/>
      <c r="C37" s="33"/>
      <c r="D37" s="43"/>
      <c r="E37" s="38"/>
      <c r="F37" s="4"/>
      <c r="G37" s="46"/>
      <c r="H37" s="10"/>
      <c r="I37" s="33"/>
      <c r="J37" s="15"/>
    </row>
    <row r="38" spans="1:10" x14ac:dyDescent="0.25">
      <c r="A38" s="13">
        <v>36</v>
      </c>
      <c r="B38" s="14"/>
      <c r="C38" s="33"/>
      <c r="D38" s="43"/>
      <c r="E38" s="38"/>
      <c r="F38" s="4"/>
      <c r="G38" s="46"/>
      <c r="H38" s="10"/>
      <c r="I38" s="33"/>
      <c r="J38" s="15"/>
    </row>
    <row r="39" spans="1:10" ht="15.75" thickBot="1" x14ac:dyDescent="0.3">
      <c r="A39" s="29">
        <v>37</v>
      </c>
      <c r="B39" s="16"/>
      <c r="C39" s="35"/>
      <c r="D39" s="27"/>
      <c r="E39" s="39"/>
      <c r="F39" s="28"/>
      <c r="G39" s="47"/>
      <c r="H39" s="25"/>
      <c r="I39" s="12"/>
      <c r="J39" s="16"/>
    </row>
    <row r="40" spans="1:10" ht="15.75" thickTop="1" x14ac:dyDescent="0.25"/>
  </sheetData>
  <mergeCells count="2">
    <mergeCell ref="E1:G1"/>
    <mergeCell ref="H1:J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0A3B8E-A09E-40D5-B59B-B6A384070B4C}">
  <dimension ref="A1:K39"/>
  <sheetViews>
    <sheetView tabSelected="1" workbookViewId="0">
      <selection activeCell="N33" sqref="N33"/>
    </sheetView>
  </sheetViews>
  <sheetFormatPr defaultColWidth="13.42578125" defaultRowHeight="15" x14ac:dyDescent="0.25"/>
  <cols>
    <col min="1" max="3" width="13.42578125" style="1"/>
    <col min="4" max="4" width="13.42578125" style="2"/>
    <col min="5" max="16384" width="13.42578125" style="1"/>
  </cols>
  <sheetData>
    <row r="1" spans="1:11" s="52" customFormat="1" ht="21" x14ac:dyDescent="0.35">
      <c r="A1" s="1"/>
      <c r="B1" s="1"/>
      <c r="C1" s="1"/>
      <c r="D1" s="1"/>
      <c r="E1" s="51"/>
      <c r="F1" s="51"/>
      <c r="G1" s="51"/>
      <c r="H1" s="51"/>
      <c r="I1" s="51"/>
      <c r="J1" s="51"/>
    </row>
    <row r="2" spans="1:11" s="8" customFormat="1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7"/>
    </row>
    <row r="3" spans="1:11" x14ac:dyDescent="0.25">
      <c r="D3" s="1"/>
      <c r="K3" s="5"/>
    </row>
    <row r="4" spans="1:11" x14ac:dyDescent="0.25">
      <c r="D4" s="1"/>
      <c r="K4" s="5"/>
    </row>
    <row r="5" spans="1:11" x14ac:dyDescent="0.25">
      <c r="D5" s="1"/>
      <c r="K5" s="5"/>
    </row>
    <row r="6" spans="1:11" x14ac:dyDescent="0.25">
      <c r="D6" s="1"/>
      <c r="K6" s="5"/>
    </row>
    <row r="7" spans="1:11" x14ac:dyDescent="0.25">
      <c r="D7" s="1"/>
      <c r="K7" s="5"/>
    </row>
    <row r="8" spans="1:11" x14ac:dyDescent="0.25">
      <c r="D8" s="1"/>
      <c r="K8" s="5"/>
    </row>
    <row r="9" spans="1:11" x14ac:dyDescent="0.25">
      <c r="D9" s="1"/>
      <c r="K9" s="5"/>
    </row>
    <row r="10" spans="1:11" x14ac:dyDescent="0.25">
      <c r="D10" s="1"/>
      <c r="K10" s="5"/>
    </row>
    <row r="11" spans="1:11" x14ac:dyDescent="0.25">
      <c r="D11" s="1"/>
      <c r="K11" s="5"/>
    </row>
    <row r="12" spans="1:11" x14ac:dyDescent="0.25">
      <c r="D12" s="1"/>
      <c r="K12" s="5"/>
    </row>
    <row r="13" spans="1:11" x14ac:dyDescent="0.25">
      <c r="D13" s="1"/>
      <c r="K13" s="5"/>
    </row>
    <row r="14" spans="1:11" x14ac:dyDescent="0.25">
      <c r="D14" s="1"/>
      <c r="K14" s="5"/>
    </row>
    <row r="15" spans="1:11" x14ac:dyDescent="0.25">
      <c r="D15" s="1"/>
      <c r="K15" s="5"/>
    </row>
    <row r="16" spans="1:11" x14ac:dyDescent="0.25">
      <c r="D16" s="1"/>
    </row>
    <row r="17" spans="4:11" x14ac:dyDescent="0.25">
      <c r="D17" s="1"/>
    </row>
    <row r="18" spans="4:11" x14ac:dyDescent="0.25">
      <c r="D18" s="1"/>
      <c r="K18" s="11"/>
    </row>
    <row r="19" spans="4:11" x14ac:dyDescent="0.25">
      <c r="D19" s="1"/>
    </row>
    <row r="20" spans="4:11" x14ac:dyDescent="0.25">
      <c r="D20" s="1"/>
      <c r="K20" s="5"/>
    </row>
    <row r="21" spans="4:11" x14ac:dyDescent="0.25">
      <c r="D21" s="1"/>
      <c r="K21" s="5"/>
    </row>
    <row r="22" spans="4:11" x14ac:dyDescent="0.25">
      <c r="D22" s="1"/>
      <c r="K22" s="5"/>
    </row>
    <row r="23" spans="4:11" x14ac:dyDescent="0.25">
      <c r="D23" s="1"/>
      <c r="K23" s="5"/>
    </row>
    <row r="24" spans="4:11" x14ac:dyDescent="0.25">
      <c r="D24" s="1"/>
      <c r="K24" s="5"/>
    </row>
    <row r="25" spans="4:11" x14ac:dyDescent="0.25">
      <c r="D25" s="1"/>
      <c r="K25" s="5"/>
    </row>
    <row r="26" spans="4:11" x14ac:dyDescent="0.25">
      <c r="D26" s="1"/>
      <c r="K26" s="5"/>
    </row>
    <row r="27" spans="4:11" x14ac:dyDescent="0.25">
      <c r="D27" s="1"/>
      <c r="K27" s="5"/>
    </row>
    <row r="28" spans="4:11" x14ac:dyDescent="0.25">
      <c r="D28" s="1"/>
    </row>
    <row r="29" spans="4:11" x14ac:dyDescent="0.25">
      <c r="D29" s="1"/>
    </row>
    <row r="30" spans="4:11" x14ac:dyDescent="0.25">
      <c r="D30" s="1"/>
    </row>
    <row r="31" spans="4:11" x14ac:dyDescent="0.25">
      <c r="D31" s="1"/>
    </row>
    <row r="32" spans="4:11" x14ac:dyDescent="0.25">
      <c r="D32" s="1"/>
    </row>
    <row r="33" spans="4:4" x14ac:dyDescent="0.25">
      <c r="D33" s="1"/>
    </row>
    <row r="34" spans="4:4" x14ac:dyDescent="0.25">
      <c r="D34" s="1"/>
    </row>
    <row r="35" spans="4:4" x14ac:dyDescent="0.25">
      <c r="D35" s="1"/>
    </row>
    <row r="36" spans="4:4" x14ac:dyDescent="0.25">
      <c r="D36" s="1"/>
    </row>
    <row r="37" spans="4:4" x14ac:dyDescent="0.25">
      <c r="D37" s="1"/>
    </row>
    <row r="38" spans="4:4" x14ac:dyDescent="0.25">
      <c r="D38" s="1"/>
    </row>
    <row r="39" spans="4:4" x14ac:dyDescent="0.25">
      <c r="D39" s="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Source</vt:lpstr>
      <vt:lpstr>No of 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Ramin Anvar</dc:creator>
  <cp:lastModifiedBy>Ramin Anvar</cp:lastModifiedBy>
  <dcterms:created xsi:type="dcterms:W3CDTF">2016-10-16T18:22:41Z</dcterms:created>
  <dcterms:modified xsi:type="dcterms:W3CDTF">2024-11-30T16:37:31Z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6835d13-f9df-4041-895f-0e60101daa31_Enabled">
    <vt:lpwstr>true</vt:lpwstr>
  </property>
  <property fmtid="{D5CDD505-2E9C-101B-9397-08002B2CF9AE}" pid="3" name="MSIP_Label_86835d13-f9df-4041-895f-0e60101daa31_SetDate">
    <vt:lpwstr>2024-10-26T10:23:15Z</vt:lpwstr>
  </property>
  <property fmtid="{D5CDD505-2E9C-101B-9397-08002B2CF9AE}" pid="4" name="MSIP_Label_86835d13-f9df-4041-895f-0e60101daa31_Method">
    <vt:lpwstr>Standard</vt:lpwstr>
  </property>
  <property fmtid="{D5CDD505-2E9C-101B-9397-08002B2CF9AE}" pid="5" name="MSIP_Label_86835d13-f9df-4041-895f-0e60101daa31_Name">
    <vt:lpwstr>Internal</vt:lpwstr>
  </property>
  <property fmtid="{D5CDD505-2E9C-101B-9397-08002B2CF9AE}" pid="6" name="MSIP_Label_86835d13-f9df-4041-895f-0e60101daa31_SiteId">
    <vt:lpwstr>64393617-747f-4e83-91bb-b318e7eaa668</vt:lpwstr>
  </property>
  <property fmtid="{D5CDD505-2E9C-101B-9397-08002B2CF9AE}" pid="7" name="MSIP_Label_86835d13-f9df-4041-895f-0e60101daa31_ActionId">
    <vt:lpwstr>350edd95-c423-452f-b77a-b58d65adb6fc</vt:lpwstr>
  </property>
  <property fmtid="{D5CDD505-2E9C-101B-9397-08002B2CF9AE}" pid="8" name="MSIP_Label_86835d13-f9df-4041-895f-0e60101daa31_ContentBits">
    <vt:lpwstr>0</vt:lpwstr>
  </property>
</Properties>
</file>