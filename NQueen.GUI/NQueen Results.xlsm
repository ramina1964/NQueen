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/>
  <mc:AlternateContent xmlns:mc="http://schemas.openxmlformats.org/markup-compatibility/2006">
    <mc:Choice Requires="x15">
      <x15ac:absPath xmlns:x15ac="http://schemas.microsoft.com/office/spreadsheetml/2010/11/ac" url="C:\PrivateRepos\Code\NQueen\NQueen.GUI\"/>
    </mc:Choice>
  </mc:AlternateContent>
  <xr:revisionPtr revIDLastSave="0" documentId="13_ncr:1_{D61A1CBE-5E07-476A-AC56-D92065A14681}" xr6:coauthVersionLast="47" xr6:coauthVersionMax="47" xr10:uidLastSave="{00000000-0000-0000-0000-000000000000}"/>
  <bookViews>
    <workbookView xWindow="-105" yWindow="0" windowWidth="30060" windowHeight="20985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<sst xmlns="http://schemas.openxmlformats.org/spreadsheetml/2006/main" count="12" uniqueCount="9">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</sst>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165" fontId="1" fillId="0" borderId="3" xfId="0" applyNumberFormat="1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3" fontId="1" fillId="0" borderId="13" xfId="0" applyNumberFormat="1" applyFont="1" applyBorder="1"/>
    <xf numFmtId="3" fontId="1" fillId="0" borderId="4" xfId="0" applyNumberFormat="1" applyFont="1" applyBorder="1"/>
    <xf numFmtId="3" fontId="1" fillId="0" borderId="12" xfId="0" applyNumberFormat="1" applyFont="1" applyBorder="1"/>
    <xf numFmtId="3" fontId="1" fillId="0" borderId="5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Source'!$D$6:$D$32</c:f>
              <c:numCache>
                <c:formatCode>0.0000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8.0016114764461292</c:v>
                </c:pt>
                <c:pt idx="17">
                  <c:v>7.9999904687436709</c:v>
                </c:pt>
                <c:pt idx="18">
                  <c:v>7.999996281865851</c:v>
                </c:pt>
                <c:pt idx="19">
                  <c:v>8.0000051272208932</c:v>
                </c:pt>
                <c:pt idx="20">
                  <c:v>7.9999976229960774</c:v>
                </c:pt>
                <c:pt idx="21">
                  <c:v>7.9999998758329873</c:v>
                </c:pt>
                <c:pt idx="22">
                  <c:v>7.9999999088232352</c:v>
                </c:pt>
                <c:pt idx="23">
                  <c:v>8.0000000191886009</c:v>
                </c:pt>
                <c:pt idx="24">
                  <c:v>8.000000000000167</c:v>
                </c:pt>
                <c:pt idx="25">
                  <c:v>8.0000000000001226</c:v>
                </c:pt>
                <c:pt idx="26">
                  <c:v>7.9999999999999902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Factor</c:v>
                </c15:tx>
              </c15:filteredSeriesTitle>
            </c:ex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30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2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Source'!$C$6:$C$32</c:f>
              <c:numCache>
                <c:formatCode>#,##0</c:formatCode>
                <c:ptCount val="2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2207893435808350</c:v>
                </c:pt>
                <c:pt idx="22">
                  <c:v>2.2317699616364E+16</c:v>
                </c:pt>
                <c:pt idx="23">
                  <c:v>2.3490796715412198E+17</c:v>
                </c:pt>
                <c:pt idx="24">
                  <c:v>2.5620759788037499E+18</c:v>
                </c:pt>
                <c:pt idx="25">
                  <c:v>2.8732581474275799E+19</c:v>
                </c:pt>
                <c:pt idx="26">
                  <c:v>3.2948800517798199E+20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Source'!$B$6:$B$32</c:f>
              <c:numCache>
                <c:formatCode>#,##0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>
                  <c:v>9233</c:v>
                </c:pt>
                <c:pt idx="10">
                  <c:v>45752</c:v>
                </c:pt>
                <c:pt idx="11">
                  <c:v>285053</c:v>
                </c:pt>
                <c:pt idx="12">
                  <c:v>1846955</c:v>
                </c:pt>
                <c:pt idx="13">
                  <c:v>11977939</c:v>
                </c:pt>
                <c:pt idx="14">
                  <c:v>83263591</c:v>
                </c:pt>
                <c:pt idx="15">
                  <c:v>621012754</c:v>
                </c:pt>
                <c:pt idx="16">
                  <c:v>4877666080</c:v>
                </c:pt>
                <c:pt idx="17">
                  <c:v>39333324701</c:v>
                </c:pt>
                <c:pt idx="18">
                  <c:v>336376244042</c:v>
                </c:pt>
                <c:pt idx="19">
                  <c:v>3029240269107</c:v>
                </c:pt>
                <c:pt idx="20">
                  <c:v>28439279946752</c:v>
                </c:pt>
                <c:pt idx="21">
                  <c:v>275986683759599</c:v>
                </c:pt>
                <c:pt idx="22">
                  <c:v>2789712483840120</c:v>
                </c:pt>
                <c:pt idx="23">
                  <c:v>2.93634958238347E+16</c:v>
                </c:pt>
                <c:pt idx="24">
                  <c:v>3.2025949735046202E+17</c:v>
                </c:pt>
                <c:pt idx="25">
                  <c:v>3.5915726842844201E+18</c:v>
                </c:pt>
                <c:pt idx="26">
                  <c:v>4.1186000647247798E+19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2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16852</xdr:colOff>
      <xdr:row>1</xdr:row>
      <xdr:rowOff>9524</xdr:rowOff>
    </xdr:from>
    <xdr:to>
      <xdr:col>18</xdr:col>
      <xdr:colOff>0</xdr:colOff>
      <xdr:row>33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266699</xdr:rowOff>
    </xdr:from>
    <xdr:to>
      <xdr:col>9</xdr:col>
      <xdr:colOff>19050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5" activePane="bottomLeft" state="frozen"/>
      <selection pane="bottomLeft" activeCell="T20" sqref="T20"/>
    </sheetView>
  </sheetViews>
  <sheetFormatPr defaultColWidth="8.7109375" defaultRowHeight="15" x14ac:dyDescent="0.25"/>
  <cols>
    <col min="1" max="1" width="11.42578125" style="1" customWidth="1"/>
    <col min="2" max="2" width="29.140625" style="1" customWidth="1"/>
    <col min="3" max="3" width="28" style="1" bestFit="1" customWidth="1"/>
    <col min="4" max="4" width="8.42578125" style="2" customWidth="1"/>
    <col min="5" max="7" width="10.42578125" style="3" customWidth="1"/>
    <col min="8" max="8" width="11.7109375" style="5" customWidth="1"/>
    <col min="9" max="9" width="13" style="1" customWidth="1"/>
    <col min="10" max="12" width="8.7109375" style="1"/>
    <col min="13" max="13" width="11.140625" style="1" customWidth="1"/>
    <col min="14" max="14" width="11" style="1" customWidth="1"/>
    <col min="15" max="16384" width="8.7109375" style="1"/>
  </cols>
  <sheetData>
    <row r="1" spans="1:11" s="6" customFormat="1" ht="16.5" thickBot="1" x14ac:dyDescent="0.3">
      <c r="A1" s="19" t="s">
        <v>7</v>
      </c>
      <c r="B1" s="19" t="s">
        <v>6</v>
      </c>
      <c r="C1" s="20" t="s">
        <v>5</v>
      </c>
      <c r="D1" s="28" t="s">
        <v>0</v>
      </c>
      <c r="E1" s="55" t="s">
        <v>3</v>
      </c>
      <c r="F1" s="56"/>
      <c r="G1" s="57"/>
      <c r="H1" s="58" t="s">
        <v>8</v>
      </c>
      <c r="I1" s="59"/>
      <c r="J1" s="60"/>
    </row>
    <row r="2" spans="1:11" s="8" customFormat="1" ht="17.25" thickTop="1" thickBot="1" x14ac:dyDescent="0.3">
      <c r="A2" s="32"/>
      <c r="B2" s="33"/>
      <c r="C2" s="34"/>
      <c r="D2" s="35"/>
      <c r="E2" s="36" t="s">
        <v>2</v>
      </c>
      <c r="F2" s="37" t="s">
        <v>4</v>
      </c>
      <c r="G2" s="38" t="s">
        <v>1</v>
      </c>
      <c r="H2" s="36" t="s">
        <v>2</v>
      </c>
      <c r="I2" s="39" t="s">
        <v>4</v>
      </c>
      <c r="J2" s="40" t="s">
        <v>1</v>
      </c>
      <c r="K2" s="7"/>
    </row>
    <row r="3" spans="1:11" ht="15.75" thickTop="1" x14ac:dyDescent="0.25">
      <c r="A3" s="52">
        <v>1</v>
      </c>
      <c r="B3" s="53">
        <v>1</v>
      </c>
      <c r="C3" s="51">
        <v>1</v>
      </c>
      <c r="D3" s="27">
        <f>IF(B3=0,0,C3/B3)</f>
        <v>1</v>
      </c>
      <c r="E3" s="15">
        <v>0</v>
      </c>
      <c r="F3" s="13">
        <v>0</v>
      </c>
      <c r="G3" s="26"/>
      <c r="H3" s="29">
        <v>0</v>
      </c>
      <c r="I3" s="30"/>
      <c r="J3" s="31"/>
      <c r="K3" s="5"/>
    </row>
    <row r="4" spans="1:11" x14ac:dyDescent="0.25">
      <c r="A4" s="54">
        <v>2</v>
      </c>
      <c r="B4" s="12">
        <v>0</v>
      </c>
      <c r="C4" s="14">
        <v>0</v>
      </c>
      <c r="D4" s="27">
        <f t="shared" ref="D4:D32" si="0">IF(B4=0,0,C4/B4)</f>
        <v>0</v>
      </c>
      <c r="E4" s="16">
        <v>0</v>
      </c>
      <c r="F4" s="4">
        <v>0</v>
      </c>
      <c r="G4" s="24"/>
      <c r="H4" s="23">
        <v>0</v>
      </c>
      <c r="I4" s="21"/>
      <c r="J4" s="25"/>
      <c r="K4" s="5"/>
    </row>
    <row r="5" spans="1:11" x14ac:dyDescent="0.25">
      <c r="A5" s="54">
        <v>3</v>
      </c>
      <c r="B5" s="12">
        <v>0</v>
      </c>
      <c r="C5" s="14">
        <v>0</v>
      </c>
      <c r="D5" s="27">
        <f t="shared" si="0"/>
        <v>0</v>
      </c>
      <c r="E5" s="16">
        <v>0</v>
      </c>
      <c r="F5" s="4">
        <v>0</v>
      </c>
      <c r="G5" s="24"/>
      <c r="H5" s="23">
        <v>0</v>
      </c>
      <c r="I5" s="21"/>
      <c r="J5" s="25"/>
      <c r="K5" s="5"/>
    </row>
    <row r="6" spans="1:11" x14ac:dyDescent="0.25">
      <c r="A6" s="54">
        <v>4</v>
      </c>
      <c r="B6" s="12">
        <v>1</v>
      </c>
      <c r="C6" s="14">
        <v>2</v>
      </c>
      <c r="D6" s="27">
        <f t="shared" si="0"/>
        <v>2</v>
      </c>
      <c r="E6" s="16">
        <v>0</v>
      </c>
      <c r="F6" s="4">
        <v>0</v>
      </c>
      <c r="G6" s="24"/>
      <c r="H6" s="23">
        <v>0</v>
      </c>
      <c r="I6" s="21"/>
      <c r="J6" s="25"/>
      <c r="K6" s="5"/>
    </row>
    <row r="7" spans="1:11" x14ac:dyDescent="0.25">
      <c r="A7" s="54">
        <v>5</v>
      </c>
      <c r="B7" s="12">
        <v>2</v>
      </c>
      <c r="C7" s="14">
        <v>10</v>
      </c>
      <c r="D7" s="27">
        <f t="shared" si="0"/>
        <v>5</v>
      </c>
      <c r="E7" s="16">
        <v>0</v>
      </c>
      <c r="F7" s="4">
        <v>0</v>
      </c>
      <c r="G7" s="24"/>
      <c r="H7" s="23">
        <v>0</v>
      </c>
      <c r="I7" s="21"/>
      <c r="J7" s="25"/>
      <c r="K7" s="5"/>
    </row>
    <row r="8" spans="1:11" x14ac:dyDescent="0.25">
      <c r="A8" s="54">
        <v>6</v>
      </c>
      <c r="B8" s="12">
        <v>1</v>
      </c>
      <c r="C8" s="14">
        <v>4</v>
      </c>
      <c r="D8" s="27">
        <f t="shared" si="0"/>
        <v>4</v>
      </c>
      <c r="E8" s="16">
        <v>0</v>
      </c>
      <c r="F8" s="4">
        <v>0</v>
      </c>
      <c r="G8" s="24"/>
      <c r="H8" s="23">
        <v>0</v>
      </c>
      <c r="I8" s="21"/>
      <c r="J8" s="25"/>
      <c r="K8" s="5"/>
    </row>
    <row r="9" spans="1:11" x14ac:dyDescent="0.25">
      <c r="A9" s="54">
        <v>7</v>
      </c>
      <c r="B9" s="12">
        <v>6</v>
      </c>
      <c r="C9" s="14">
        <v>40</v>
      </c>
      <c r="D9" s="27">
        <f t="shared" si="0"/>
        <v>6.666666666666667</v>
      </c>
      <c r="E9" s="16">
        <v>0</v>
      </c>
      <c r="F9" s="4">
        <v>0</v>
      </c>
      <c r="G9" s="24"/>
      <c r="H9" s="23">
        <v>0</v>
      </c>
      <c r="I9" s="21"/>
      <c r="J9" s="25"/>
      <c r="K9" s="5"/>
    </row>
    <row r="10" spans="1:11" x14ac:dyDescent="0.25">
      <c r="A10" s="54">
        <v>8</v>
      </c>
      <c r="B10" s="12">
        <v>12</v>
      </c>
      <c r="C10" s="14">
        <v>92</v>
      </c>
      <c r="D10" s="27">
        <f t="shared" si="0"/>
        <v>7.666666666666667</v>
      </c>
      <c r="E10" s="16">
        <v>0</v>
      </c>
      <c r="F10" s="4">
        <v>0</v>
      </c>
      <c r="G10" s="24"/>
      <c r="H10" s="23">
        <v>0</v>
      </c>
      <c r="I10" s="21"/>
      <c r="J10" s="25"/>
      <c r="K10" s="5"/>
    </row>
    <row r="11" spans="1:11" x14ac:dyDescent="0.25">
      <c r="A11" s="54">
        <v>9</v>
      </c>
      <c r="B11" s="12">
        <v>46</v>
      </c>
      <c r="C11" s="14">
        <v>352</v>
      </c>
      <c r="D11" s="27">
        <f t="shared" si="0"/>
        <v>7.6521739130434785</v>
      </c>
      <c r="E11" s="16">
        <v>0</v>
      </c>
      <c r="F11" s="4">
        <v>0</v>
      </c>
      <c r="G11" s="24"/>
      <c r="H11" s="23">
        <v>0</v>
      </c>
      <c r="I11" s="21"/>
      <c r="J11" s="25"/>
      <c r="K11" s="5"/>
    </row>
    <row r="12" spans="1:11" x14ac:dyDescent="0.25">
      <c r="A12" s="54">
        <v>10</v>
      </c>
      <c r="B12" s="12">
        <v>92</v>
      </c>
      <c r="C12" s="14">
        <v>724</v>
      </c>
      <c r="D12" s="27">
        <f t="shared" si="0"/>
        <v>7.8695652173913047</v>
      </c>
      <c r="E12" s="16">
        <v>0</v>
      </c>
      <c r="F12" s="4">
        <v>0</v>
      </c>
      <c r="G12" s="24"/>
      <c r="H12" s="23">
        <v>0</v>
      </c>
      <c r="I12" s="21"/>
      <c r="J12" s="25"/>
      <c r="K12" s="5"/>
    </row>
    <row r="13" spans="1:11" x14ac:dyDescent="0.25">
      <c r="A13" s="54">
        <v>11</v>
      </c>
      <c r="B13" s="12">
        <v>341</v>
      </c>
      <c r="C13" s="14">
        <v>2680</v>
      </c>
      <c r="D13" s="27">
        <f t="shared" si="0"/>
        <v>7.8592375366568916</v>
      </c>
      <c r="E13" s="16">
        <v>0</v>
      </c>
      <c r="F13" s="4">
        <v>0</v>
      </c>
      <c r="G13" s="24"/>
      <c r="H13" s="23">
        <v>0</v>
      </c>
      <c r="I13" s="21"/>
      <c r="J13" s="25"/>
      <c r="K13" s="5"/>
    </row>
    <row r="14" spans="1:11" x14ac:dyDescent="0.25">
      <c r="A14" s="54">
        <v>12</v>
      </c>
      <c r="B14" s="12">
        <v>1787</v>
      </c>
      <c r="C14" s="14">
        <v>14200</v>
      </c>
      <c r="D14" s="27">
        <f t="shared" si="0"/>
        <v>7.9462786793508675</v>
      </c>
      <c r="E14" s="16">
        <v>0</v>
      </c>
      <c r="F14" s="4">
        <v>0.1</v>
      </c>
      <c r="G14" s="24">
        <v>0.2</v>
      </c>
      <c r="H14" s="23">
        <v>0</v>
      </c>
      <c r="I14" s="21"/>
      <c r="J14" s="25"/>
      <c r="K14" s="5"/>
    </row>
    <row r="15" spans="1:11" x14ac:dyDescent="0.25">
      <c r="A15" s="54">
        <v>13</v>
      </c>
      <c r="B15" s="12">
        <v>9233</v>
      </c>
      <c r="C15" s="14">
        <v>73712</v>
      </c>
      <c r="D15" s="27">
        <f t="shared" si="0"/>
        <v>7.9835373118163107</v>
      </c>
      <c r="E15" s="16">
        <v>0</v>
      </c>
      <c r="F15" s="4">
        <v>0.5</v>
      </c>
      <c r="G15" s="24">
        <v>1</v>
      </c>
      <c r="H15" s="23">
        <v>0</v>
      </c>
      <c r="I15" s="21"/>
      <c r="J15" s="25"/>
      <c r="K15" s="5"/>
    </row>
    <row r="16" spans="1:11" x14ac:dyDescent="0.25">
      <c r="A16" s="54">
        <v>14</v>
      </c>
      <c r="B16" s="12">
        <v>45752</v>
      </c>
      <c r="C16" s="14">
        <v>365596</v>
      </c>
      <c r="D16" s="27">
        <f t="shared" si="0"/>
        <v>7.9908200734394121</v>
      </c>
      <c r="E16" s="16">
        <v>0</v>
      </c>
      <c r="F16" s="4">
        <v>3.1</v>
      </c>
      <c r="G16" s="24">
        <v>5.3</v>
      </c>
      <c r="H16" s="23">
        <v>0</v>
      </c>
      <c r="I16" s="21">
        <v>170.3</v>
      </c>
      <c r="J16" s="25">
        <v>527.4</v>
      </c>
    </row>
    <row r="17" spans="1:11" x14ac:dyDescent="0.25">
      <c r="A17" s="54">
        <v>15</v>
      </c>
      <c r="B17" s="12">
        <v>285053</v>
      </c>
      <c r="C17" s="14">
        <v>2279184</v>
      </c>
      <c r="D17" s="27">
        <f t="shared" si="0"/>
        <v>7.9956499317670753</v>
      </c>
      <c r="E17" s="16">
        <v>0</v>
      </c>
      <c r="F17" s="4">
        <v>11.5</v>
      </c>
      <c r="G17" s="24">
        <v>13.8</v>
      </c>
      <c r="H17" s="23">
        <v>0</v>
      </c>
      <c r="I17" s="21">
        <v>460</v>
      </c>
      <c r="J17" s="25">
        <v>4820</v>
      </c>
    </row>
    <row r="18" spans="1:11" x14ac:dyDescent="0.25">
      <c r="A18" s="54">
        <v>16</v>
      </c>
      <c r="B18" s="12">
        <v>1846955</v>
      </c>
      <c r="C18" s="14">
        <v>14772512</v>
      </c>
      <c r="D18" s="27">
        <f t="shared" si="0"/>
        <v>7.998306401617798</v>
      </c>
      <c r="E18" s="16">
        <v>0</v>
      </c>
      <c r="F18" s="4">
        <v>76.900000000000006</v>
      </c>
      <c r="G18" s="24">
        <v>98.4</v>
      </c>
      <c r="H18" s="23">
        <v>0</v>
      </c>
      <c r="I18" s="21">
        <v>2110</v>
      </c>
      <c r="J18" s="25">
        <v>3160</v>
      </c>
      <c r="K18" s="9"/>
    </row>
    <row r="19" spans="1:11" x14ac:dyDescent="0.25">
      <c r="A19" s="54">
        <v>17</v>
      </c>
      <c r="B19" s="12">
        <v>11977939</v>
      </c>
      <c r="C19" s="14">
        <v>95815104</v>
      </c>
      <c r="D19" s="27">
        <f t="shared" si="0"/>
        <v>7.9992980428435976</v>
      </c>
      <c r="E19" s="16">
        <v>0</v>
      </c>
      <c r="F19" s="4">
        <v>617.29999999999995</v>
      </c>
      <c r="G19" s="24"/>
      <c r="H19" s="23">
        <v>0</v>
      </c>
      <c r="I19" s="21">
        <v>14620</v>
      </c>
      <c r="J19" s="25"/>
    </row>
    <row r="20" spans="1:11" x14ac:dyDescent="0.25">
      <c r="A20" s="54">
        <v>18</v>
      </c>
      <c r="B20" s="12">
        <v>83263591</v>
      </c>
      <c r="C20" s="14">
        <v>666090624</v>
      </c>
      <c r="D20" s="27">
        <f t="shared" si="0"/>
        <v>7.9997825700311198</v>
      </c>
      <c r="E20" s="16">
        <v>0</v>
      </c>
      <c r="F20" s="4"/>
      <c r="G20" s="24"/>
      <c r="H20" s="23">
        <v>0</v>
      </c>
      <c r="I20" s="21"/>
      <c r="J20" s="25"/>
      <c r="K20" s="5"/>
    </row>
    <row r="21" spans="1:11" x14ac:dyDescent="0.25">
      <c r="A21" s="54">
        <v>19</v>
      </c>
      <c r="B21" s="12">
        <v>621012754</v>
      </c>
      <c r="C21" s="14">
        <v>4968057848</v>
      </c>
      <c r="D21" s="27">
        <f t="shared" si="0"/>
        <v>7.9999288517027782</v>
      </c>
      <c r="E21" s="16">
        <v>0</v>
      </c>
      <c r="F21" s="4"/>
      <c r="G21" s="24"/>
      <c r="H21" s="23">
        <v>0</v>
      </c>
      <c r="I21" s="21"/>
      <c r="J21" s="25"/>
      <c r="K21" s="5"/>
    </row>
    <row r="22" spans="1:11" x14ac:dyDescent="0.25">
      <c r="A22" s="54">
        <v>20</v>
      </c>
      <c r="B22" s="12">
        <v>4877666080</v>
      </c>
      <c r="C22" s="14">
        <v>39029188884</v>
      </c>
      <c r="D22" s="27">
        <f t="shared" si="0"/>
        <v>8.0016114764461292</v>
      </c>
      <c r="E22" s="16">
        <v>0</v>
      </c>
      <c r="F22" s="4"/>
      <c r="G22" s="24"/>
      <c r="H22" s="23">
        <v>0</v>
      </c>
      <c r="I22" s="21"/>
      <c r="J22" s="25"/>
      <c r="K22" s="5"/>
    </row>
    <row r="23" spans="1:11" x14ac:dyDescent="0.25">
      <c r="A23" s="54">
        <v>21</v>
      </c>
      <c r="B23" s="12">
        <v>39333324701</v>
      </c>
      <c r="C23" s="14">
        <v>314666222712</v>
      </c>
      <c r="D23" s="27">
        <f t="shared" si="0"/>
        <v>7.9999904687436709</v>
      </c>
      <c r="E23" s="16">
        <v>0</v>
      </c>
      <c r="F23" s="4"/>
      <c r="G23" s="24"/>
      <c r="H23" s="23">
        <v>0</v>
      </c>
      <c r="I23" s="21"/>
      <c r="J23" s="25"/>
      <c r="K23" s="5"/>
    </row>
    <row r="24" spans="1:11" x14ac:dyDescent="0.25">
      <c r="A24" s="54">
        <v>22</v>
      </c>
      <c r="B24" s="12">
        <v>336376244042</v>
      </c>
      <c r="C24" s="14">
        <v>2691008701644</v>
      </c>
      <c r="D24" s="27">
        <f t="shared" si="0"/>
        <v>7.999996281865851</v>
      </c>
      <c r="E24" s="16">
        <v>0</v>
      </c>
      <c r="F24" s="4"/>
      <c r="G24" s="24"/>
      <c r="H24" s="23">
        <v>0</v>
      </c>
      <c r="I24" s="21"/>
      <c r="J24" s="25"/>
      <c r="K24" s="5"/>
    </row>
    <row r="25" spans="1:11" x14ac:dyDescent="0.25">
      <c r="A25" s="54">
        <v>23</v>
      </c>
      <c r="B25" s="12">
        <v>3029240269107</v>
      </c>
      <c r="C25" s="14">
        <v>24233937684440</v>
      </c>
      <c r="D25" s="27">
        <f t="shared" si="0"/>
        <v>8.0000051272208932</v>
      </c>
      <c r="E25" s="16">
        <v>0</v>
      </c>
      <c r="F25" s="4"/>
      <c r="G25" s="24"/>
      <c r="H25" s="23">
        <v>0</v>
      </c>
      <c r="I25" s="21"/>
      <c r="J25" s="25"/>
      <c r="K25" s="5"/>
    </row>
    <row r="26" spans="1:11" x14ac:dyDescent="0.25">
      <c r="A26" s="54">
        <v>24</v>
      </c>
      <c r="B26" s="12">
        <v>28439279946752</v>
      </c>
      <c r="C26" s="14">
        <v>227514171973736</v>
      </c>
      <c r="D26" s="27">
        <f t="shared" si="0"/>
        <v>7.9999976229960774</v>
      </c>
      <c r="E26" s="16">
        <v>0</v>
      </c>
      <c r="F26" s="4"/>
      <c r="G26" s="24"/>
      <c r="H26" s="23">
        <v>0</v>
      </c>
      <c r="I26" s="21"/>
      <c r="J26" s="25"/>
      <c r="K26" s="5"/>
    </row>
    <row r="27" spans="1:11" x14ac:dyDescent="0.25">
      <c r="A27" s="54">
        <v>25</v>
      </c>
      <c r="B27" s="12">
        <v>275986683759599</v>
      </c>
      <c r="C27" s="14">
        <v>2207893435808350</v>
      </c>
      <c r="D27" s="27">
        <f t="shared" si="0"/>
        <v>7.9999998758329873</v>
      </c>
      <c r="E27" s="16">
        <v>0</v>
      </c>
      <c r="F27" s="4"/>
      <c r="G27" s="24"/>
      <c r="H27" s="23">
        <v>0</v>
      </c>
      <c r="I27" s="21"/>
      <c r="J27" s="25"/>
      <c r="K27" s="5"/>
    </row>
    <row r="28" spans="1:11" x14ac:dyDescent="0.25">
      <c r="A28" s="54">
        <v>26</v>
      </c>
      <c r="B28" s="12">
        <v>2789712483840120</v>
      </c>
      <c r="C28" s="14">
        <v>2.2317699616364E+16</v>
      </c>
      <c r="D28" s="27">
        <f t="shared" si="0"/>
        <v>7.9999999088232352</v>
      </c>
      <c r="E28" s="16">
        <v>0.2</v>
      </c>
      <c r="F28" s="4"/>
      <c r="G28" s="24"/>
      <c r="H28" s="23">
        <v>0.2</v>
      </c>
      <c r="I28" s="21"/>
      <c r="J28" s="25"/>
      <c r="K28" s="5"/>
    </row>
    <row r="29" spans="1:11" x14ac:dyDescent="0.25">
      <c r="A29" s="52">
        <v>27</v>
      </c>
      <c r="B29" s="12">
        <v>2.93634958238347E+16</v>
      </c>
      <c r="C29" s="14">
        <v>2.3490796715412198E+17</v>
      </c>
      <c r="D29" s="27">
        <f t="shared" si="0"/>
        <v>8.0000000191886009</v>
      </c>
      <c r="E29" s="16"/>
      <c r="F29" s="4"/>
      <c r="G29" s="24"/>
      <c r="H29" s="23"/>
      <c r="I29" s="21"/>
      <c r="J29" s="25"/>
    </row>
    <row r="30" spans="1:11" x14ac:dyDescent="0.25">
      <c r="A30" s="54">
        <v>28</v>
      </c>
      <c r="B30" s="12">
        <v>3.2025949735046202E+17</v>
      </c>
      <c r="C30" s="14">
        <v>2.5620759788037499E+18</v>
      </c>
      <c r="D30" s="27">
        <f t="shared" si="0"/>
        <v>8.000000000000167</v>
      </c>
      <c r="E30" s="16"/>
      <c r="F30" s="4"/>
      <c r="G30" s="24"/>
      <c r="H30" s="23"/>
      <c r="I30" s="21"/>
      <c r="J30" s="25"/>
    </row>
    <row r="31" spans="1:11" x14ac:dyDescent="0.25">
      <c r="A31" s="54">
        <v>29</v>
      </c>
      <c r="B31" s="12">
        <v>3.5915726842844201E+18</v>
      </c>
      <c r="C31" s="14">
        <v>2.8732581474275799E+19</v>
      </c>
      <c r="D31" s="27">
        <f t="shared" si="0"/>
        <v>8.0000000000001226</v>
      </c>
      <c r="E31" s="16"/>
      <c r="F31" s="4"/>
      <c r="G31" s="24"/>
      <c r="H31" s="23"/>
      <c r="I31" s="21"/>
      <c r="J31" s="25"/>
    </row>
    <row r="32" spans="1:11" x14ac:dyDescent="0.25">
      <c r="A32" s="54">
        <v>30</v>
      </c>
      <c r="B32" s="12">
        <v>4.1186000647247798E+19</v>
      </c>
      <c r="C32" s="14">
        <v>3.2948800517798199E+20</v>
      </c>
      <c r="D32" s="27">
        <f t="shared" si="0"/>
        <v>7.9999999999999902</v>
      </c>
      <c r="E32" s="16"/>
      <c r="F32" s="4"/>
      <c r="G32" s="24"/>
      <c r="H32" s="23"/>
      <c r="I32" s="21"/>
      <c r="J32" s="25"/>
    </row>
    <row r="33" spans="1:10" x14ac:dyDescent="0.25">
      <c r="A33" s="10">
        <v>31</v>
      </c>
      <c r="B33" s="12"/>
      <c r="C33" s="14"/>
      <c r="D33" s="22"/>
      <c r="E33" s="16"/>
      <c r="F33" s="4"/>
      <c r="G33" s="24"/>
      <c r="H33" s="23"/>
      <c r="I33" s="21"/>
      <c r="J33" s="25"/>
    </row>
    <row r="34" spans="1:10" x14ac:dyDescent="0.25">
      <c r="A34" s="10">
        <v>32</v>
      </c>
      <c r="B34" s="12"/>
      <c r="C34" s="14"/>
      <c r="D34" s="22"/>
      <c r="E34" s="16"/>
      <c r="F34" s="4"/>
      <c r="G34" s="24"/>
      <c r="H34" s="23"/>
      <c r="I34" s="21"/>
      <c r="J34" s="25"/>
    </row>
    <row r="35" spans="1:10" x14ac:dyDescent="0.25">
      <c r="A35" s="10">
        <v>33</v>
      </c>
      <c r="B35" s="11"/>
      <c r="C35" s="14"/>
      <c r="D35" s="22"/>
      <c r="E35" s="16">
        <v>35.6</v>
      </c>
      <c r="F35" s="4"/>
      <c r="G35" s="24"/>
      <c r="H35" s="23">
        <v>240</v>
      </c>
      <c r="I35" s="21"/>
      <c r="J35" s="25"/>
    </row>
    <row r="36" spans="1:10" x14ac:dyDescent="0.25">
      <c r="A36" s="10">
        <v>34</v>
      </c>
      <c r="B36" s="12"/>
      <c r="C36" s="14"/>
      <c r="D36" s="22"/>
      <c r="E36" s="16">
        <v>615.9</v>
      </c>
      <c r="F36" s="4"/>
      <c r="G36" s="24"/>
      <c r="H36" s="23">
        <v>240</v>
      </c>
      <c r="I36" s="21"/>
      <c r="J36" s="25"/>
    </row>
    <row r="37" spans="1:10" x14ac:dyDescent="0.25">
      <c r="A37" s="10">
        <v>35</v>
      </c>
      <c r="B37" s="12"/>
      <c r="C37" s="14"/>
      <c r="D37" s="22"/>
      <c r="E37" s="16">
        <v>65.5</v>
      </c>
      <c r="F37" s="4"/>
      <c r="G37" s="24"/>
      <c r="H37" s="23">
        <v>250</v>
      </c>
      <c r="I37" s="21"/>
      <c r="J37" s="25"/>
    </row>
    <row r="38" spans="1:10" x14ac:dyDescent="0.25">
      <c r="A38" s="10">
        <v>36</v>
      </c>
      <c r="B38" s="11"/>
      <c r="C38" s="14"/>
      <c r="D38" s="22"/>
      <c r="E38" s="16">
        <v>65.8</v>
      </c>
      <c r="F38" s="4"/>
      <c r="G38" s="24"/>
      <c r="H38" s="23">
        <v>250</v>
      </c>
      <c r="I38" s="21"/>
      <c r="J38" s="25"/>
    </row>
    <row r="39" spans="1:10" ht="15.75" thickBot="1" x14ac:dyDescent="0.3">
      <c r="A39" s="41">
        <v>37</v>
      </c>
      <c r="B39" s="42"/>
      <c r="C39" s="43"/>
      <c r="D39" s="44"/>
      <c r="E39" s="45">
        <v>324.2</v>
      </c>
      <c r="F39" s="46"/>
      <c r="G39" s="47"/>
      <c r="H39" s="48">
        <v>260</v>
      </c>
      <c r="I39" s="49"/>
      <c r="J39" s="5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4CC8B-9ACC-4378-A370-DB13E6EEFC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Source'!A6:A6</xm:f>
              <xm:sqref>B6</xm:sqref>
            </x14:sparkline>
            <x14:sparkline>
              <xm:f>'Data Source'!A7:A7</xm:f>
              <xm:sqref>B7</xm:sqref>
            </x14:sparkline>
            <x14:sparkline>
              <xm:f>'Data Source'!A8:A8</xm:f>
              <xm:sqref>B8</xm:sqref>
            </x14:sparkline>
            <x14:sparkline>
              <xm:f>'Data Source'!A9:A9</xm:f>
              <xm:sqref>B9</xm:sqref>
            </x14:sparkline>
            <x14:sparkline>
              <xm:f>'Data Source'!A10:A10</xm:f>
              <xm:sqref>B10</xm:sqref>
            </x14:sparkline>
            <x14:sparkline>
              <xm:f>'Data Source'!A11:A11</xm:f>
              <xm:sqref>B11</xm:sqref>
            </x14:sparkline>
            <x14:sparkline>
              <xm:f>'Data Source'!A12:A12</xm:f>
              <xm:sqref>B12</xm:sqref>
            </x14:sparkline>
            <x14:sparkline>
              <xm:f>'Data Source'!A13:A13</xm:f>
              <xm:sqref>B13</xm:sqref>
            </x14:sparkline>
            <x14:sparkline>
              <xm:f>'Data Source'!A14:A14</xm:f>
              <xm:sqref>B14</xm:sqref>
            </x14:sparkline>
            <x14:sparkline>
              <xm:f>'Data Source'!A15:A15</xm:f>
              <xm:sqref>B15</xm:sqref>
            </x14:sparkline>
            <x14:sparkline>
              <xm:f>'Data Source'!A16:A16</xm:f>
              <xm:sqref>B16</xm:sqref>
            </x14:sparkline>
            <x14:sparkline>
              <xm:f>'Data Source'!A17:A17</xm:f>
              <xm:sqref>B17</xm:sqref>
            </x14:sparkline>
            <x14:sparkline>
              <xm:f>'Data Source'!A18:A18</xm:f>
              <xm:sqref>B18</xm:sqref>
            </x14:sparkline>
            <x14:sparkline>
              <xm:f>'Data Source'!A19:A19</xm:f>
              <xm:sqref>B19</xm:sqref>
            </x14:sparkline>
            <x14:sparkline>
              <xm:f>'Data Source'!A20:A20</xm:f>
              <xm:sqref>B20</xm:sqref>
            </x14:sparkline>
            <x14:sparkline>
              <xm:f>'Data Source'!A21:A21</xm:f>
              <xm:sqref>B21</xm:sqref>
            </x14:sparkline>
            <x14:sparkline>
              <xm:f>'Data Source'!A22:A22</xm:f>
              <xm:sqref>B22</xm:sqref>
            </x14:sparkline>
            <x14:sparkline>
              <xm:f>'Data Source'!A23:A23</xm:f>
              <xm:sqref>B23</xm:sqref>
            </x14:sparkline>
            <x14:sparkline>
              <xm:f>'Data Source'!A24:A24</xm:f>
              <xm:sqref>B24</xm:sqref>
            </x14:sparkline>
            <x14:sparkline>
              <xm:f>'Data Source'!A25:A25</xm:f>
              <xm:sqref>B25</xm:sqref>
            </x14:sparkline>
            <x14:sparkline>
              <xm:f>'Data Source'!A26:A26</xm:f>
              <xm:sqref>B26</xm:sqref>
            </x14:sparkline>
            <x14:sparkline>
              <xm:f>'Data Source'!A27:A27</xm:f>
              <xm:sqref>B27</xm:sqref>
            </x14:sparkline>
            <x14:sparkline>
              <xm:f>'Data Source'!A28:A28</xm:f>
              <xm:sqref>B28</xm:sqref>
            </x14:sparkline>
            <x14:sparkline>
              <xm:f>'Data Source'!A29:A29</xm:f>
              <xm:sqref>B29</xm:sqref>
            </x14:sparkline>
            <x14:sparkline>
              <xm:f>'Data Source'!A30:A30</xm:f>
              <xm:sqref>B30</xm:sqref>
            </x14:sparkline>
            <x14:sparkline>
              <xm:f>'Data Source'!A31:A31</xm:f>
              <xm:sqref>B31</xm:sqref>
            </x14:sparkline>
            <x14:sparkline>
              <xm:f>'Data Source'!A32:A32</xm:f>
              <xm:sqref>B32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B35" sqref="B35"/>
    </sheetView>
  </sheetViews>
  <sheetFormatPr defaultColWidth="13.42578125" defaultRowHeight="15" x14ac:dyDescent="0.25"/>
  <cols>
    <col min="1" max="1" width="5" style="1" customWidth="1"/>
    <col min="2" max="3" width="13.42578125" style="1"/>
    <col min="4" max="4" width="13.42578125" style="2"/>
    <col min="5" max="9" width="13.42578125" style="1"/>
    <col min="10" max="10" width="8.28515625" style="1" customWidth="1"/>
    <col min="11" max="16384" width="13.42578125" style="1"/>
  </cols>
  <sheetData>
    <row r="1" spans="1:11" s="18" customFormat="1" ht="21" x14ac:dyDescent="0.35">
      <c r="A1" s="1"/>
      <c r="B1" s="1"/>
      <c r="C1" s="1"/>
      <c r="D1" s="1"/>
      <c r="E1" s="17"/>
      <c r="F1" s="17"/>
      <c r="G1" s="17"/>
      <c r="H1" s="17"/>
      <c r="I1" s="17"/>
      <c r="J1" s="17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2025-06-02T12:11:18Z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